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baitoey\Downloads\"/>
    </mc:Choice>
  </mc:AlternateContent>
  <xr:revisionPtr revIDLastSave="0" documentId="13_ncr:1_{B2927A3A-5629-4D76-B5B3-DEF051D56E48}" xr6:coauthVersionLast="47" xr6:coauthVersionMax="47" xr10:uidLastSave="{00000000-0000-0000-0000-000000000000}"/>
  <bookViews>
    <workbookView xWindow="-108" yWindow="-108" windowWidth="23256" windowHeight="12456" xr2:uid="{93311C13-6608-4724-90AC-788A0601B07E}"/>
  </bookViews>
  <sheets>
    <sheet name="Dashboard" sheetId="6" r:id="rId1"/>
    <sheet name="Avg BS" sheetId="2" r:id="rId2"/>
    <sheet name="Avg BP " sheetId="3" r:id="rId3"/>
    <sheet name="Avg Age" sheetId="5" r:id="rId4"/>
    <sheet name="Avg Bs by age" sheetId="7" r:id="rId5"/>
    <sheet name="Avg Heart Rate " sheetId="4" r:id="rId6"/>
    <sheet name="Risk Level by BodyTemp Category" sheetId="8" r:id="rId7"/>
    <sheet name="MaternalHealthRiskDataset" sheetId="1" r:id="rId8"/>
  </sheets>
  <definedNames>
    <definedName name="Slicer_Age_Group">#N/A</definedName>
    <definedName name="Slicer_BodyTemp_Category">#N/A</definedName>
    <definedName name="Slicer_BP_Category">#N/A</definedName>
    <definedName name="Slicer_BS_Category">#N/A</definedName>
    <definedName name="Slicer_Heartrate_Category">#N/A</definedName>
    <definedName name="Slicer_RiskLeve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2" i="1"/>
</calcChain>
</file>

<file path=xl/sharedStrings.xml><?xml version="1.0" encoding="utf-8"?>
<sst xmlns="http://schemas.openxmlformats.org/spreadsheetml/2006/main" count="1083" uniqueCount="31">
  <si>
    <t>Age</t>
  </si>
  <si>
    <t>SystolicBP</t>
  </si>
  <si>
    <t>DiastolicBP</t>
  </si>
  <si>
    <t>BS</t>
  </si>
  <si>
    <t>BodyTemp</t>
  </si>
  <si>
    <t>HeartRate</t>
  </si>
  <si>
    <t>RiskLevel</t>
  </si>
  <si>
    <t>high risk</t>
  </si>
  <si>
    <t>low risk</t>
  </si>
  <si>
    <t>mid risk</t>
  </si>
  <si>
    <t>Age Group</t>
  </si>
  <si>
    <t>BP Category</t>
  </si>
  <si>
    <t>BS Category</t>
  </si>
  <si>
    <t>Heartrate Category</t>
  </si>
  <si>
    <t>BodyTemp Category</t>
  </si>
  <si>
    <t>Row Labels</t>
  </si>
  <si>
    <t>Grand Total</t>
  </si>
  <si>
    <t>Average of BS</t>
  </si>
  <si>
    <t>Column Labels</t>
  </si>
  <si>
    <t>Average of SystolicBP</t>
  </si>
  <si>
    <t>Average of DiastolicBP</t>
  </si>
  <si>
    <t>30-40</t>
  </si>
  <si>
    <t>Average of HeartRate</t>
  </si>
  <si>
    <t>High</t>
  </si>
  <si>
    <t>Normal</t>
  </si>
  <si>
    <t>Average of Age</t>
  </si>
  <si>
    <t>Count of BodyTemp</t>
  </si>
  <si>
    <t>10-20</t>
  </si>
  <si>
    <t>20-30</t>
  </si>
  <si>
    <t>40-50</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</si>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</sst>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ahoma"/>
      <family val="2"/>
      <charset val="222"/>
      <scheme val="minor"/>
    </font>
    <font>
      <sz val="11"/>
      <color theme="1"/>
      <name val="Tahoma"/>
      <family val="2"/>
      <charset val="222"/>
      <scheme val="minor"/>
    </font>
    <font>
      <sz val="18"/>
      <color theme="3"/>
      <name val="Tahoma"/>
      <family val="2"/>
      <charset val="222"/>
      <scheme val="major"/>
    </font>
    <font>
      <b/>
      <sz val="15"/>
      <color theme="3"/>
      <name val="Tahoma"/>
      <family val="2"/>
      <charset val="222"/>
      <scheme val="minor"/>
    </font>
    <font>
      <b/>
      <sz val="13"/>
      <color theme="3"/>
      <name val="Tahoma"/>
      <family val="2"/>
      <charset val="222"/>
      <scheme val="minor"/>
    </font>
    <font>
      <b/>
      <sz val="11"/>
      <color theme="3"/>
      <name val="Tahoma"/>
      <family val="2"/>
      <charset val="222"/>
      <scheme val="minor"/>
    </font>
    <font>
      <sz val="11"/>
      <color rgb="FF006100"/>
      <name val="Tahoma"/>
      <family val="2"/>
      <charset val="222"/>
      <scheme val="minor"/>
    </font>
    <font>
      <sz val="11"/>
      <color rgb="FF9C0006"/>
      <name val="Tahoma"/>
      <family val="2"/>
      <charset val="222"/>
      <scheme val="minor"/>
    </font>
    <font>
      <sz val="11"/>
      <color rgb="FF9C5700"/>
      <name val="Tahoma"/>
      <family val="2"/>
      <charset val="222"/>
      <scheme val="minor"/>
    </font>
    <font>
      <sz val="11"/>
      <color rgb="FF3F3F76"/>
      <name val="Tahoma"/>
      <family val="2"/>
      <charset val="222"/>
      <scheme val="minor"/>
    </font>
    <font>
      <b/>
      <sz val="11"/>
      <color rgb="FF3F3F3F"/>
      <name val="Tahoma"/>
      <family val="2"/>
      <charset val="222"/>
      <scheme val="minor"/>
    </font>
    <font>
      <b/>
      <sz val="11"/>
      <color rgb="FFFA7D00"/>
      <name val="Tahoma"/>
      <family val="2"/>
      <charset val="222"/>
      <scheme val="minor"/>
    </font>
    <font>
      <sz val="11"/>
      <color rgb="FFFA7D00"/>
      <name val="Tahoma"/>
      <family val="2"/>
      <charset val="222"/>
      <scheme val="minor"/>
    </font>
    <font>
      <b/>
      <sz val="11"/>
      <color theme="0"/>
      <name val="Tahoma"/>
      <family val="2"/>
      <charset val="222"/>
      <scheme val="minor"/>
    </font>
    <font>
      <sz val="11"/>
      <color rgb="FFFF0000"/>
      <name val="Tahoma"/>
      <family val="2"/>
      <charset val="222"/>
      <scheme val="minor"/>
    </font>
    <font>
      <i/>
      <sz val="11"/>
      <color rgb="FF7F7F7F"/>
      <name val="Tahoma"/>
      <family val="2"/>
      <charset val="222"/>
      <scheme val="minor"/>
    </font>
    <font>
      <b/>
      <sz val="11"/>
      <color theme="1"/>
      <name val="Tahoma"/>
      <family val="2"/>
      <charset val="222"/>
      <scheme val="minor"/>
    </font>
    <font>
      <sz val="11"/>
      <color theme="0"/>
      <name val="Tahoma"/>
      <family val="2"/>
      <charset val="22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BP !PivotTable3</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t>Average Blood Pressure by Risk Level</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BP '!$B$3</c:f>
              <c:strCache>
                <c:ptCount val="1"/>
                <c:pt idx="0">
                  <c:v>Average of SystolicBP</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BP '!$A$4:$A$7</c:f>
              <c:strCache>
                <c:ptCount val="3"/>
                <c:pt idx="0">
                  <c:v>high risk</c:v>
                </c:pt>
                <c:pt idx="1">
                  <c:v>low risk</c:v>
                </c:pt>
                <c:pt idx="2">
                  <c:v>mid risk</c:v>
                </c:pt>
              </c:strCache>
            </c:strRef>
          </c:cat>
          <c:val>
            <c:numRef>
              <c:f>'Avg BP '!$B$4:$B$7</c:f>
              <c:numCache>
                <c:formatCode>0.00</c:formatCode>
                <c:ptCount val="3"/>
                <c:pt idx="0">
                  <c:v>124.19485294117646</c:v>
                </c:pt>
                <c:pt idx="1">
                  <c:v>105.86699507389163</c:v>
                </c:pt>
                <c:pt idx="2">
                  <c:v>113.1547619047619</c:v>
                </c:pt>
              </c:numCache>
            </c:numRef>
          </c:val>
          <c:extLst>
            <c:ext xmlns:c16="http://schemas.microsoft.com/office/drawing/2014/chart" uri="{C3380CC4-5D6E-409C-BE32-E72D297353CC}">
              <c16:uniqueId val="{00000000-3E5E-4C1E-A60C-CA59F00C6EF7}"/>
            </c:ext>
          </c:extLst>
        </c:ser>
        <c:ser>
          <c:idx val="1"/>
          <c:order val="1"/>
          <c:tx>
            <c:strRef>
              <c:f>'Avg BP '!$C$3</c:f>
              <c:strCache>
                <c:ptCount val="1"/>
                <c:pt idx="0">
                  <c:v>Average of DiastolicBP</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BP '!$A$4:$A$7</c:f>
              <c:strCache>
                <c:ptCount val="3"/>
                <c:pt idx="0">
                  <c:v>high risk</c:v>
                </c:pt>
                <c:pt idx="1">
                  <c:v>low risk</c:v>
                </c:pt>
                <c:pt idx="2">
                  <c:v>mid risk</c:v>
                </c:pt>
              </c:strCache>
            </c:strRef>
          </c:cat>
          <c:val>
            <c:numRef>
              <c:f>'Avg BP '!$C$4:$C$7</c:f>
              <c:numCache>
                <c:formatCode>0.00</c:formatCode>
                <c:ptCount val="3"/>
                <c:pt idx="0">
                  <c:v>85.07352941176471</c:v>
                </c:pt>
                <c:pt idx="1">
                  <c:v>72.534482758620683</c:v>
                </c:pt>
                <c:pt idx="2">
                  <c:v>74.232142857142861</c:v>
                </c:pt>
              </c:numCache>
            </c:numRef>
          </c:val>
          <c:extLst>
            <c:ext xmlns:c16="http://schemas.microsoft.com/office/drawing/2014/chart" uri="{C3380CC4-5D6E-409C-BE32-E72D297353CC}">
              <c16:uniqueId val="{00000001-3E5E-4C1E-A60C-CA59F00C6EF7}"/>
            </c:ext>
          </c:extLst>
        </c:ser>
        <c:dLbls>
          <c:dLblPos val="outEnd"/>
          <c:showLegendKey val="0"/>
          <c:showVal val="1"/>
          <c:showCatName val="0"/>
          <c:showSerName val="0"/>
          <c:showPercent val="0"/>
          <c:showBubbleSize val="0"/>
        </c:dLbls>
        <c:gapWidth val="355"/>
        <c:overlap val="-70"/>
        <c:axId val="541584416"/>
        <c:axId val="541568096"/>
      </c:barChart>
      <c:catAx>
        <c:axId val="5415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41568096"/>
        <c:crosses val="autoZero"/>
        <c:auto val="1"/>
        <c:lblAlgn val="ctr"/>
        <c:lblOffset val="100"/>
        <c:noMultiLvlLbl val="0"/>
      </c:catAx>
      <c:valAx>
        <c:axId val="5415680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4158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Age!PivotTable5</c:name>
    <c:fmtId val="4"/>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t>Average Age by Risk Level</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Age'!$B$3:$B$4</c:f>
              <c:strCache>
                <c:ptCount val="1"/>
                <c:pt idx="0">
                  <c:v>high risk</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'Avg Age'!$A$5:$A$10</c:f>
              <c:strCache>
                <c:ptCount val="5"/>
                <c:pt idx="0">
                  <c:v>10-20</c:v>
                </c:pt>
                <c:pt idx="1">
                  <c:v>20-30</c:v>
                </c:pt>
                <c:pt idx="2">
                  <c:v>30-40</c:v>
                </c:pt>
                <c:pt idx="3">
                  <c:v>40-50</c:v>
                </c:pt>
                <c:pt idx="4">
                  <c:v>50+</c:v>
                </c:pt>
              </c:strCache>
            </c:strRef>
          </c:cat>
          <c:val>
            <c:numRef>
              <c:f>'Avg Age'!$B$5:$B$10</c:f>
              <c:numCache>
                <c:formatCode>0.00</c:formatCode>
                <c:ptCount val="5"/>
                <c:pt idx="0">
                  <c:v>15.666666666666666</c:v>
                </c:pt>
                <c:pt idx="1">
                  <c:v>26.357142857142858</c:v>
                </c:pt>
                <c:pt idx="2">
                  <c:v>36.505494505494504</c:v>
                </c:pt>
                <c:pt idx="3">
                  <c:v>48.04081632653061</c:v>
                </c:pt>
                <c:pt idx="4">
                  <c:v>56.432432432432435</c:v>
                </c:pt>
              </c:numCache>
            </c:numRef>
          </c:val>
          <c:extLst>
            <c:ext xmlns:c16="http://schemas.microsoft.com/office/drawing/2014/chart" uri="{C3380CC4-5D6E-409C-BE32-E72D297353CC}">
              <c16:uniqueId val="{00000000-F0C0-4531-865D-FA25A4280583}"/>
            </c:ext>
          </c:extLst>
        </c:ser>
        <c:ser>
          <c:idx val="1"/>
          <c:order val="1"/>
          <c:tx>
            <c:strRef>
              <c:f>'Avg Age'!$C$3:$C$4</c:f>
              <c:strCache>
                <c:ptCount val="1"/>
                <c:pt idx="0">
                  <c:v>low risk</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'Avg Age'!$A$5:$A$10</c:f>
              <c:strCache>
                <c:ptCount val="5"/>
                <c:pt idx="0">
                  <c:v>10-20</c:v>
                </c:pt>
                <c:pt idx="1">
                  <c:v>20-30</c:v>
                </c:pt>
                <c:pt idx="2">
                  <c:v>30-40</c:v>
                </c:pt>
                <c:pt idx="3">
                  <c:v>40-50</c:v>
                </c:pt>
                <c:pt idx="4">
                  <c:v>50+</c:v>
                </c:pt>
              </c:strCache>
            </c:strRef>
          </c:cat>
          <c:val>
            <c:numRef>
              <c:f>'Avg Age'!$C$5:$C$10</c:f>
              <c:numCache>
                <c:formatCode>0.00</c:formatCode>
                <c:ptCount val="5"/>
                <c:pt idx="0">
                  <c:v>16.186666666666667</c:v>
                </c:pt>
                <c:pt idx="1">
                  <c:v>23.455882352941178</c:v>
                </c:pt>
                <c:pt idx="2">
                  <c:v>33.387755102040813</c:v>
                </c:pt>
                <c:pt idx="3">
                  <c:v>45.210526315789473</c:v>
                </c:pt>
                <c:pt idx="4">
                  <c:v>58.696969696969695</c:v>
                </c:pt>
              </c:numCache>
            </c:numRef>
          </c:val>
          <c:extLst>
            <c:ext xmlns:c16="http://schemas.microsoft.com/office/drawing/2014/chart" uri="{C3380CC4-5D6E-409C-BE32-E72D297353CC}">
              <c16:uniqueId val="{00000003-163B-42C2-B826-EFDCCFB30859}"/>
            </c:ext>
          </c:extLst>
        </c:ser>
        <c:ser>
          <c:idx val="2"/>
          <c:order val="2"/>
          <c:tx>
            <c:strRef>
              <c:f>'Avg Age'!$D$3:$D$4</c:f>
              <c:strCache>
                <c:ptCount val="1"/>
                <c:pt idx="0">
                  <c:v>mid risk</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'Avg Age'!$A$5:$A$10</c:f>
              <c:strCache>
                <c:ptCount val="5"/>
                <c:pt idx="0">
                  <c:v>10-20</c:v>
                </c:pt>
                <c:pt idx="1">
                  <c:v>20-30</c:v>
                </c:pt>
                <c:pt idx="2">
                  <c:v>30-40</c:v>
                </c:pt>
                <c:pt idx="3">
                  <c:v>40-50</c:v>
                </c:pt>
                <c:pt idx="4">
                  <c:v>50+</c:v>
                </c:pt>
              </c:strCache>
            </c:strRef>
          </c:cat>
          <c:val>
            <c:numRef>
              <c:f>'Avg Age'!$D$5:$D$10</c:f>
              <c:numCache>
                <c:formatCode>0.00</c:formatCode>
                <c:ptCount val="5"/>
                <c:pt idx="0">
                  <c:v>16.973214285714285</c:v>
                </c:pt>
                <c:pt idx="1">
                  <c:v>25.951219512195124</c:v>
                </c:pt>
                <c:pt idx="2">
                  <c:v>33.093023255813954</c:v>
                </c:pt>
                <c:pt idx="3">
                  <c:v>47.636363636363633</c:v>
                </c:pt>
                <c:pt idx="4">
                  <c:v>57.68</c:v>
                </c:pt>
              </c:numCache>
            </c:numRef>
          </c:val>
          <c:extLst>
            <c:ext xmlns:c16="http://schemas.microsoft.com/office/drawing/2014/chart" uri="{C3380CC4-5D6E-409C-BE32-E72D297353CC}">
              <c16:uniqueId val="{00000004-163B-42C2-B826-EFDCCFB30859}"/>
            </c:ext>
          </c:extLst>
        </c:ser>
        <c:dLbls>
          <c:showLegendKey val="0"/>
          <c:showVal val="0"/>
          <c:showCatName val="0"/>
          <c:showSerName val="0"/>
          <c:showPercent val="0"/>
          <c:showBubbleSize val="0"/>
        </c:dLbls>
        <c:gapWidth val="100"/>
        <c:axId val="670326720"/>
        <c:axId val="670327680"/>
      </c:barChart>
      <c:catAx>
        <c:axId val="67032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670327680"/>
        <c:crosses val="autoZero"/>
        <c:auto val="1"/>
        <c:lblAlgn val="ctr"/>
        <c:lblOffset val="100"/>
        <c:noMultiLvlLbl val="0"/>
      </c:catAx>
      <c:valAx>
        <c:axId val="670327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6703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[6723765506.csv.xlsx]Avg BS!PivotTable2</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lumMod val="50000"/>
                    <a:lumOff val="50000"/>
                  </a:schemeClr>
                </a:solidFill>
              </a:rPr>
              <a:t>Average Blood Sugar</a:t>
            </a:r>
          </a:p>
          <a:p>
            <a:pPr>
              <a:defRPr/>
            </a:pPr>
            <a:r>
              <a:rPr lang="en-US">
                <a:solidFill>
                  <a:schemeClr val="tx1">
                    <a:lumMod val="50000"/>
                    <a:lumOff val="50000"/>
                  </a:schemeClr>
                </a:solidFill>
              </a:rPr>
              <a:t>by Risk Level</a:t>
            </a:r>
          </a:p>
        </c:rich>
      </c:tx>
      <c:layout>
        <c:manualLayout>
          <c:xMode val="edge"/>
          <c:yMode val="edge"/>
          <c:x val="0.22210501158720175"/>
          <c:y val="0.1132129538994903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h-TH"/>
        </a:p>
      </c:txPr>
    </c:title>
    <c:autoTitleDeleted val="0"/>
    <c:pivotFmts>
      <c:pivotFmt>
        <c:idx val="0"/>
        <c:spPr>
          <a:pattFill prst="ltUpDiag">
            <a:fgClr>
              <a:schemeClr val="accent3"/>
            </a:fgClr>
            <a:bgClr>
              <a:schemeClr val="lt1"/>
            </a:bgClr>
          </a:pattFill>
          <a:ln w="25400" cap="rnd">
            <a:solidFill>
              <a:schemeClr val="lt1"/>
            </a:solidFill>
            <a:round/>
          </a:ln>
          <a:effectLst>
            <a:outerShdw dist="25400" dir="2700000" algn="tl" rotWithShape="0">
              <a:schemeClr val="accent3"/>
            </a:outerShdw>
          </a:effectLst>
        </c:spPr>
        <c:marker>
          <c:symbol val="circle"/>
          <c:size val="14"/>
          <c:spPr>
            <a:solidFill>
              <a:schemeClr val="accent3"/>
            </a:solidFill>
            <a:ln>
              <a:noFill/>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w="25400" cap="rnd">
            <a:solidFill>
              <a:schemeClr val="lt1"/>
            </a:solidFill>
            <a:round/>
          </a:ln>
          <a:effectLst>
            <a:outerShdw dist="25400" dir="2700000" algn="tl" rotWithShape="0">
              <a:schemeClr val="accent3"/>
            </a:outerShdw>
          </a:effectLst>
        </c:spPr>
        <c:marker>
          <c:symbol val="circle"/>
          <c:size val="14"/>
          <c:spPr>
            <a:solidFill>
              <a:schemeClr val="accent3"/>
            </a:solidFill>
            <a:ln>
              <a:noFill/>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3"/>
            </a:outerShdw>
          </a:effectLst>
        </c:spPr>
        <c:marker>
          <c:symbol val="circle"/>
          <c:size val="14"/>
          <c:spPr>
            <a:solidFill>
              <a:schemeClr val="accent3"/>
            </a:solidFill>
            <a:ln>
              <a:noFill/>
            </a:ln>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BS'!$B$3</c:f>
              <c:strCache>
                <c:ptCount val="1"/>
                <c:pt idx="0">
                  <c:v>Total</c:v>
                </c:pt>
              </c:strCache>
            </c:strRef>
          </c:tx>
          <c:spPr>
            <a:ln w="25400" cap="rnd">
              <a:solidFill>
                <a:schemeClr val="lt1"/>
              </a:solidFill>
              <a:round/>
            </a:ln>
            <a:effectLst>
              <a:outerShdw dist="25400" dir="2700000" algn="tl" rotWithShape="0">
                <a:schemeClr val="accent3"/>
              </a:outerShdw>
            </a:effectLst>
          </c:spPr>
          <c:marker>
            <c:symbol val="circle"/>
            <c:size val="14"/>
            <c:spPr>
              <a:solidFill>
                <a:schemeClr val="accent3"/>
              </a:solidFill>
              <a:ln>
                <a:noFill/>
              </a:ln>
              <a:effectLst/>
            </c:spPr>
          </c:marker>
          <c:dLbls>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'Avg BS'!$A$4:$A$7</c:f>
              <c:strCache>
                <c:ptCount val="3"/>
                <c:pt idx="0">
                  <c:v>high risk</c:v>
                </c:pt>
                <c:pt idx="1">
                  <c:v>low risk</c:v>
                </c:pt>
                <c:pt idx="2">
                  <c:v>mid risk</c:v>
                </c:pt>
              </c:strCache>
            </c:strRef>
          </c:cat>
          <c:val>
            <c:numRef>
              <c:f>'Avg BS'!$B$4:$B$7</c:f>
              <c:numCache>
                <c:formatCode>0.00</c:formatCode>
                <c:ptCount val="3"/>
                <c:pt idx="0">
                  <c:v>12.122610294117649</c:v>
                </c:pt>
                <c:pt idx="1">
                  <c:v>7.2202709359606034</c:v>
                </c:pt>
                <c:pt idx="2">
                  <c:v>7.7957440476190474</c:v>
                </c:pt>
              </c:numCache>
            </c:numRef>
          </c:val>
          <c:smooth val="0"/>
          <c:extLst>
            <c:ext xmlns:c16="http://schemas.microsoft.com/office/drawing/2014/chart" uri="{C3380CC4-5D6E-409C-BE32-E72D297353CC}">
              <c16:uniqueId val="{00000000-6DC7-4AED-9FF8-B05D616D3BCD}"/>
            </c:ext>
          </c:extLst>
        </c:ser>
        <c:dLbls>
          <c:dLblPos val="ctr"/>
          <c:showLegendKey val="0"/>
          <c:showVal val="1"/>
          <c:showCatName val="0"/>
          <c:showSerName val="0"/>
          <c:showPercent val="0"/>
          <c:showBubbleSize val="0"/>
        </c:dLbls>
        <c:dropLines>
          <c:spPr>
            <a:ln w="9525" cap="flat" cmpd="sng" algn="ctr">
              <a:solidFill>
                <a:srgbClr val="0070C0"/>
              </a:solidFill>
              <a:round/>
            </a:ln>
            <a:effectLst/>
          </c:spPr>
        </c:dropLines>
        <c:marker val="1"/>
        <c:smooth val="0"/>
        <c:axId val="666427312"/>
        <c:axId val="666428272"/>
      </c:lineChart>
      <c:catAx>
        <c:axId val="66642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th-TH"/>
          </a:p>
        </c:txPr>
        <c:crossAx val="666428272"/>
        <c:crosses val="autoZero"/>
        <c:auto val="1"/>
        <c:lblAlgn val="ctr"/>
        <c:lblOffset val="100"/>
        <c:noMultiLvlLbl val="0"/>
      </c:catAx>
      <c:valAx>
        <c:axId val="666428272"/>
        <c:scaling>
          <c:orientation val="minMax"/>
        </c:scaling>
        <c:delete val="1"/>
        <c:axPos val="l"/>
        <c:numFmt formatCode="0.00" sourceLinked="1"/>
        <c:majorTickMark val="none"/>
        <c:minorTickMark val="none"/>
        <c:tickLblPos val="nextTo"/>
        <c:crossAx val="66642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Heart Rate !PivotTable4</c:name>
    <c:fmtId val="8"/>
  </c:pivotSource>
  <c:chart>
    <c:title>
      <c:tx>
        <c:rich>
          <a:bodyPr rot="0" spcFirstLastPara="1" vertOverflow="ellipsis" vert="horz" wrap="square" anchor="ctr" anchorCtr="1"/>
          <a:lstStyle/>
          <a:p>
            <a:pPr>
              <a:defRPr sz="1800" b="0" i="0" u="none" strike="noStrike" kern="1200" cap="none" spc="20" baseline="0">
                <a:solidFill>
                  <a:schemeClr val="tx1">
                    <a:lumMod val="50000"/>
                    <a:lumOff val="50000"/>
                  </a:schemeClr>
                </a:solidFill>
                <a:latin typeface="+mn-lt"/>
                <a:ea typeface="+mn-ea"/>
                <a:cs typeface="+mn-cs"/>
              </a:defRPr>
            </a:pPr>
            <a:r>
              <a:rPr lang="en-US" sz="1800" b="1" i="0" u="none" strike="noStrike" cap="none" baseline="0"/>
              <a:t>Average Heart Rate by Age Group &amp; Risk Level</a:t>
            </a:r>
            <a:endParaRPr lang="en-US" sz="1800" b="1"/>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Heart Rate '!$B$3:$B$4</c:f>
              <c:strCache>
                <c:ptCount val="1"/>
                <c:pt idx="0">
                  <c:v>high risk</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'!$B$5:$B$10</c:f>
              <c:numCache>
                <c:formatCode>0.00</c:formatCode>
                <c:ptCount val="5"/>
                <c:pt idx="0">
                  <c:v>73.564102564102569</c:v>
                </c:pt>
                <c:pt idx="1">
                  <c:v>76.785714285714292</c:v>
                </c:pt>
                <c:pt idx="2">
                  <c:v>77.824175824175825</c:v>
                </c:pt>
                <c:pt idx="3">
                  <c:v>80.102040816326536</c:v>
                </c:pt>
                <c:pt idx="4">
                  <c:v>72.918918918918919</c:v>
                </c:pt>
              </c:numCache>
            </c:numRef>
          </c:val>
          <c:extLst>
            <c:ext xmlns:c16="http://schemas.microsoft.com/office/drawing/2014/chart" uri="{C3380CC4-5D6E-409C-BE32-E72D297353CC}">
              <c16:uniqueId val="{00000000-5ECE-4AD2-9F90-66C7F2029BF6}"/>
            </c:ext>
          </c:extLst>
        </c:ser>
        <c:ser>
          <c:idx val="1"/>
          <c:order val="1"/>
          <c:tx>
            <c:strRef>
              <c:f>'Avg Heart Rate '!$C$3:$C$4</c:f>
              <c:strCache>
                <c:ptCount val="1"/>
                <c:pt idx="0">
                  <c:v>low risk</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'!$C$5:$C$10</c:f>
              <c:numCache>
                <c:formatCode>0.00</c:formatCode>
                <c:ptCount val="5"/>
                <c:pt idx="0">
                  <c:v>72.673333333333332</c:v>
                </c:pt>
                <c:pt idx="1">
                  <c:v>73.639705882352942</c:v>
                </c:pt>
                <c:pt idx="2">
                  <c:v>70.142857142857139</c:v>
                </c:pt>
                <c:pt idx="3">
                  <c:v>72.526315789473685</c:v>
                </c:pt>
                <c:pt idx="4">
                  <c:v>73.818181818181813</c:v>
                </c:pt>
              </c:numCache>
            </c:numRef>
          </c:val>
          <c:extLst>
            <c:ext xmlns:c16="http://schemas.microsoft.com/office/drawing/2014/chart" uri="{C3380CC4-5D6E-409C-BE32-E72D297353CC}">
              <c16:uniqueId val="{00000003-25DA-4916-8D8A-DF83BAA71C3C}"/>
            </c:ext>
          </c:extLst>
        </c:ser>
        <c:ser>
          <c:idx val="2"/>
          <c:order val="2"/>
          <c:tx>
            <c:strRef>
              <c:f>'Avg Heart Rate '!$D$3:$D$4</c:f>
              <c:strCache>
                <c:ptCount val="1"/>
                <c:pt idx="0">
                  <c:v>mid risk</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'!$D$5:$D$10</c:f>
              <c:numCache>
                <c:formatCode>0.00</c:formatCode>
                <c:ptCount val="5"/>
                <c:pt idx="0">
                  <c:v>72.419642857142861</c:v>
                </c:pt>
                <c:pt idx="1">
                  <c:v>76.113821138211378</c:v>
                </c:pt>
                <c:pt idx="2">
                  <c:v>74.372093023255815</c:v>
                </c:pt>
                <c:pt idx="3">
                  <c:v>75.575757575757578</c:v>
                </c:pt>
                <c:pt idx="4">
                  <c:v>70.319999999999993</c:v>
                </c:pt>
              </c:numCache>
            </c:numRef>
          </c:val>
          <c:extLst>
            <c:ext xmlns:c16="http://schemas.microsoft.com/office/drawing/2014/chart" uri="{C3380CC4-5D6E-409C-BE32-E72D297353CC}">
              <c16:uniqueId val="{00000004-25DA-4916-8D8A-DF83BAA71C3C}"/>
            </c:ext>
          </c:extLst>
        </c:ser>
        <c:dLbls>
          <c:showLegendKey val="0"/>
          <c:showVal val="0"/>
          <c:showCatName val="0"/>
          <c:showSerName val="0"/>
          <c:showPercent val="0"/>
          <c:showBubbleSize val="0"/>
        </c:dLbls>
        <c:gapWidth val="100"/>
        <c:overlap val="-24"/>
        <c:axId val="485384848"/>
        <c:axId val="485385808"/>
      </c:barChart>
      <c:catAx>
        <c:axId val="48538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485385808"/>
        <c:crosses val="autoZero"/>
        <c:auto val="1"/>
        <c:lblAlgn val="ctr"/>
        <c:lblOffset val="100"/>
        <c:noMultiLvlLbl val="0"/>
      </c:catAx>
      <c:valAx>
        <c:axId val="485385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4853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Bs by age!PivotTable6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Blood Sugar by Agegroup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Bs by age'!$B$3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Bs by age'!$A$4:$A$9</c:f>
              <c:strCache>
                <c:ptCount val="5"/>
                <c:pt idx="0">
                  <c:v>10-20</c:v>
                </c:pt>
                <c:pt idx="1">
                  <c:v>20-30</c:v>
                </c:pt>
                <c:pt idx="2">
                  <c:v>30-40</c:v>
                </c:pt>
                <c:pt idx="3">
                  <c:v>40-50</c:v>
                </c:pt>
                <c:pt idx="4">
                  <c:v>50+</c:v>
                </c:pt>
              </c:strCache>
            </c:strRef>
          </c:cat>
          <c:val>
            <c:numRef>
              <c:f>'Avg Bs by age'!$B$4:$B$9</c:f>
              <c:numCache>
                <c:formatCode>0.00</c:formatCode>
                <c:ptCount val="5"/>
                <c:pt idx="0">
                  <c:v>7.4048172757475097</c:v>
                </c:pt>
                <c:pt idx="1">
                  <c:v>7.6488888888888917</c:v>
                </c:pt>
                <c:pt idx="2">
                  <c:v>9.6404371584699398</c:v>
                </c:pt>
                <c:pt idx="3">
                  <c:v>11.624166666666667</c:v>
                </c:pt>
                <c:pt idx="4">
                  <c:v>11.06105263157894</c:v>
                </c:pt>
              </c:numCache>
            </c:numRef>
          </c:val>
          <c:smooth val="0"/>
          <c:extLst>
            <c:ext xmlns:c16="http://schemas.microsoft.com/office/drawing/2014/chart" uri="{C3380CC4-5D6E-409C-BE32-E72D297353CC}">
              <c16:uniqueId val="{00000000-718F-4EF5-A7A9-B6D0B39C59CD}"/>
            </c:ext>
          </c:extLst>
        </c:ser>
        <c:dLbls>
          <c:dLblPos val="t"/>
          <c:showLegendKey val="0"/>
          <c:showVal val="1"/>
          <c:showCatName val="0"/>
          <c:showSerName val="0"/>
          <c:showPercent val="0"/>
          <c:showBubbleSize val="0"/>
        </c:dLbls>
        <c:marker val="1"/>
        <c:smooth val="0"/>
        <c:axId val="706185936"/>
        <c:axId val="706186416"/>
      </c:lineChart>
      <c:catAx>
        <c:axId val="70618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186416"/>
        <c:crosses val="autoZero"/>
        <c:auto val="1"/>
        <c:lblAlgn val="ctr"/>
        <c:lblOffset val="100"/>
        <c:noMultiLvlLbl val="0"/>
      </c:catAx>
      <c:valAx>
        <c:axId val="706186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1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[6723765506.csv.xlsx]Risk Level by BodyTemp Category!PivotTable7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Risk Level by BodyTemp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773573475385876E-2"/>
              <c:y val="-4.9065928316739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571171064057329E-2"/>
              <c:y val="-4.9065928316739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1903903546857544E-3"/>
              <c:y val="-4.0888273597282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178378298043097E-2"/>
              <c:y val="-4.4977100957011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4380780709371641E-2"/>
              <c:y val="-4.0888273597282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975975886714551E-2"/>
              <c:y val="-4.9065928316739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 Level by BodyTemp Category'!$B$3:$B$4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F479-46F8-AA4A-A1755D09C2EA}"/>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479-46F8-AA4A-A1755D09C2EA}"/>
              </c:ext>
            </c:extLst>
          </c:dPt>
          <c:dLbls>
            <c:dLbl>
              <c:idx val="0"/>
              <c:layout>
                <c:manualLayout>
                  <c:x val="1.7975975886714551E-2"/>
                  <c:y val="-4.90659283167393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479-46F8-AA4A-A1755D09C2EA}"/>
                </c:ext>
              </c:extLst>
            </c:dLbl>
            <c:dLbl>
              <c:idx val="1"/>
              <c:layout>
                <c:manualLayout>
                  <c:x val="7.1903903546857544E-3"/>
                  <c:y val="-4.0888273597282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479-46F8-AA4A-A1755D09C2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by BodyTemp Category'!$A$5:$A$7</c:f>
              <c:strCache>
                <c:ptCount val="2"/>
                <c:pt idx="0">
                  <c:v>High</c:v>
                </c:pt>
                <c:pt idx="1">
                  <c:v>Normal</c:v>
                </c:pt>
              </c:strCache>
            </c:strRef>
          </c:cat>
          <c:val>
            <c:numRef>
              <c:f>'Risk Level by BodyTemp Category'!$B$5:$B$7</c:f>
              <c:numCache>
                <c:formatCode>General</c:formatCode>
                <c:ptCount val="2"/>
                <c:pt idx="0">
                  <c:v>70</c:v>
                </c:pt>
                <c:pt idx="1">
                  <c:v>202</c:v>
                </c:pt>
              </c:numCache>
            </c:numRef>
          </c:val>
          <c:extLst>
            <c:ext xmlns:c16="http://schemas.microsoft.com/office/drawing/2014/chart" uri="{C3380CC4-5D6E-409C-BE32-E72D297353CC}">
              <c16:uniqueId val="{00000000-F479-46F8-AA4A-A1755D09C2EA}"/>
            </c:ext>
          </c:extLst>
        </c:ser>
        <c:ser>
          <c:idx val="1"/>
          <c:order val="1"/>
          <c:tx>
            <c:strRef>
              <c:f>'Risk Level by BodyTemp Category'!$C$3:$C$4</c:f>
              <c:strCache>
                <c:ptCount val="1"/>
                <c:pt idx="0">
                  <c:v>low risk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1.4380780709371641E-2"/>
                  <c:y val="-4.0888273597282775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9773573475385876E-2"/>
                  <c:y val="-4.906592831673927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by BodyTemp Category'!$A$5:$A$7</c:f>
              <c:strCache>
                <c:ptCount val="2"/>
                <c:pt idx="0">
                  <c:v>High</c:v>
                </c:pt>
                <c:pt idx="1">
                  <c:v>Normal</c:v>
                </c:pt>
              </c:strCache>
            </c:strRef>
          </c:cat>
          <c:val>
            <c:numRef>
              <c:f>'Risk Level by BodyTemp Category'!$C$5:$C$7</c:f>
              <c:numCache>
                <c:formatCode>General</c:formatCode>
                <c:ptCount val="2"/>
                <c:pt idx="0">
                  <c:v>39</c:v>
                </c:pt>
                <c:pt idx="1">
                  <c:v>367</c:v>
                </c:pt>
              </c:numCache>
            </c:numRef>
          </c:val>
          <c:extLst>
            <c:ext xmlns:c16="http://schemas.microsoft.com/office/drawing/2014/chart" uri="{C3380CC4-5D6E-409C-BE32-E72D297353CC}">
              <c16:uniqueId val="{0000000F-B57A-4F9F-9F99-27379CED570F}"/>
            </c:ext>
          </c:extLst>
        </c:ser>
        <c:ser>
          <c:idx val="2"/>
          <c:order val="2"/>
          <c:tx>
            <c:strRef>
              <c:f>'Risk Level by BodyTemp Category'!$D$3:$D$4</c:f>
              <c:strCache>
                <c:ptCount val="1"/>
                <c:pt idx="0">
                  <c:v>mid risk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1.6178378298043097E-2"/>
                  <c:y val="-4.4977100957011046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1571171064057329E-2"/>
                  <c:y val="-4.906592831673924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by BodyTemp Category'!$A$5:$A$7</c:f>
              <c:strCache>
                <c:ptCount val="2"/>
                <c:pt idx="0">
                  <c:v>High</c:v>
                </c:pt>
                <c:pt idx="1">
                  <c:v>Normal</c:v>
                </c:pt>
              </c:strCache>
            </c:strRef>
          </c:cat>
          <c:val>
            <c:numRef>
              <c:f>'Risk Level by BodyTemp Category'!$D$5:$D$7</c:f>
              <c:numCache>
                <c:formatCode>General</c:formatCode>
                <c:ptCount val="2"/>
                <c:pt idx="0">
                  <c:v>88</c:v>
                </c:pt>
                <c:pt idx="1">
                  <c:v>248</c:v>
                </c:pt>
              </c:numCache>
            </c:numRef>
          </c:val>
          <c:extLst>
            <c:ext xmlns:c16="http://schemas.microsoft.com/office/drawing/2014/chart" uri="{C3380CC4-5D6E-409C-BE32-E72D297353CC}">
              <c16:uniqueId val="{00000010-B57A-4F9F-9F99-27379CED570F}"/>
            </c:ext>
          </c:extLst>
        </c:ser>
        <c:dLbls>
          <c:showLegendKey val="0"/>
          <c:showVal val="1"/>
          <c:showCatName val="0"/>
          <c:showSerName val="0"/>
          <c:showPercent val="0"/>
          <c:showBubbleSize val="0"/>
        </c:dLbls>
        <c:gapWidth val="150"/>
        <c:shape val="box"/>
        <c:axId val="1530802048"/>
        <c:axId val="1530804448"/>
        <c:axId val="0"/>
      </c:bar3DChart>
      <c:catAx>
        <c:axId val="1530802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30804448"/>
        <c:crosses val="autoZero"/>
        <c:auto val="1"/>
        <c:lblAlgn val="ctr"/>
        <c:lblOffset val="100"/>
        <c:noMultiLvlLbl val="0"/>
      </c:catAx>
      <c:valAx>
        <c:axId val="153080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3080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BP !PivotTable3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t>Average Blood Pressure by Risk Level</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BP '!$B$3</c:f>
              <c:strCache>
                <c:ptCount val="1"/>
                <c:pt idx="0">
                  <c:v>Average of SystolicBP</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BP '!$A$4:$A$7</c:f>
              <c:strCache>
                <c:ptCount val="3"/>
                <c:pt idx="0">
                  <c:v>high risk</c:v>
                </c:pt>
                <c:pt idx="1">
                  <c:v>low risk</c:v>
                </c:pt>
                <c:pt idx="2">
                  <c:v>mid risk</c:v>
                </c:pt>
              </c:strCache>
            </c:strRef>
          </c:cat>
          <c:val>
            <c:numRef>
              <c:f>'Avg BP '!$B$4:$B$7</c:f>
              <c:numCache>
                <c:formatCode>0.00</c:formatCode>
                <c:ptCount val="3"/>
                <c:pt idx="0">
                  <c:v>124.19485294117646</c:v>
                </c:pt>
                <c:pt idx="1">
                  <c:v>105.86699507389163</c:v>
                </c:pt>
                <c:pt idx="2">
                  <c:v>113.1547619047619</c:v>
                </c:pt>
              </c:numCache>
            </c:numRef>
          </c:val>
          <c:extLst>
            <c:ext xmlns:c16="http://schemas.microsoft.com/office/drawing/2014/chart" uri="{C3380CC4-5D6E-409C-BE32-E72D297353CC}">
              <c16:uniqueId val="{00000000-87F0-4D61-8202-2D18E6375DD8}"/>
            </c:ext>
          </c:extLst>
        </c:ser>
        <c:ser>
          <c:idx val="1"/>
          <c:order val="1"/>
          <c:tx>
            <c:strRef>
              <c:f>'Avg BP '!$C$3</c:f>
              <c:strCache>
                <c:ptCount val="1"/>
                <c:pt idx="0">
                  <c:v>Average of DiastolicBP</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BP '!$A$4:$A$7</c:f>
              <c:strCache>
                <c:ptCount val="3"/>
                <c:pt idx="0">
                  <c:v>high risk</c:v>
                </c:pt>
                <c:pt idx="1">
                  <c:v>low risk</c:v>
                </c:pt>
                <c:pt idx="2">
                  <c:v>mid risk</c:v>
                </c:pt>
              </c:strCache>
            </c:strRef>
          </c:cat>
          <c:val>
            <c:numRef>
              <c:f>'Avg BP '!$C$4:$C$7</c:f>
              <c:numCache>
                <c:formatCode>0.00</c:formatCode>
                <c:ptCount val="3"/>
                <c:pt idx="0">
                  <c:v>85.07352941176471</c:v>
                </c:pt>
                <c:pt idx="1">
                  <c:v>72.534482758620683</c:v>
                </c:pt>
                <c:pt idx="2">
                  <c:v>74.232142857142861</c:v>
                </c:pt>
              </c:numCache>
            </c:numRef>
          </c:val>
          <c:extLst>
            <c:ext xmlns:c16="http://schemas.microsoft.com/office/drawing/2014/chart" uri="{C3380CC4-5D6E-409C-BE32-E72D297353CC}">
              <c16:uniqueId val="{00000001-87F0-4D61-8202-2D18E6375DD8}"/>
            </c:ext>
          </c:extLst>
        </c:ser>
        <c:dLbls>
          <c:dLblPos val="outEnd"/>
          <c:showLegendKey val="0"/>
          <c:showVal val="1"/>
          <c:showCatName val="0"/>
          <c:showSerName val="0"/>
          <c:showPercent val="0"/>
          <c:showBubbleSize val="0"/>
        </c:dLbls>
        <c:gapWidth val="355"/>
        <c:overlap val="-70"/>
        <c:axId val="541584416"/>
        <c:axId val="541568096"/>
      </c:barChart>
      <c:catAx>
        <c:axId val="5415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41568096"/>
        <c:crosses val="autoZero"/>
        <c:auto val="1"/>
        <c:lblAlgn val="ctr"/>
        <c:lblOffset val="100"/>
        <c:noMultiLvlLbl val="0"/>
      </c:catAx>
      <c:valAx>
        <c:axId val="5415680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4158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Age!PivotTable5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Age by Risk Level</a:t>
            </a:r>
          </a:p>
        </c:rich>
      </c:tx>
      <c:layout>
        <c:manualLayout>
          <c:xMode val="edge"/>
          <c:yMode val="edge"/>
          <c:x val="0.29648600174978129"/>
          <c:y val="0.114720034995625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th-TH"/>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Age'!$B$3:$B$4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Age'!$A$5:$A$10</c:f>
              <c:strCache>
                <c:ptCount val="5"/>
                <c:pt idx="0">
                  <c:v>10-20</c:v>
                </c:pt>
                <c:pt idx="1">
                  <c:v>20-30</c:v>
                </c:pt>
                <c:pt idx="2">
                  <c:v>30-40</c:v>
                </c:pt>
                <c:pt idx="3">
                  <c:v>40-50</c:v>
                </c:pt>
                <c:pt idx="4">
                  <c:v>50+</c:v>
                </c:pt>
              </c:strCache>
            </c:strRef>
          </c:cat>
          <c:val>
            <c:numRef>
              <c:f>'Avg Age'!$B$5:$B$10</c:f>
              <c:numCache>
                <c:formatCode>0.00</c:formatCode>
                <c:ptCount val="5"/>
                <c:pt idx="0">
                  <c:v>15.666666666666666</c:v>
                </c:pt>
                <c:pt idx="1">
                  <c:v>26.357142857142858</c:v>
                </c:pt>
                <c:pt idx="2">
                  <c:v>36.505494505494504</c:v>
                </c:pt>
                <c:pt idx="3">
                  <c:v>48.04081632653061</c:v>
                </c:pt>
                <c:pt idx="4">
                  <c:v>56.432432432432435</c:v>
                </c:pt>
              </c:numCache>
            </c:numRef>
          </c:val>
          <c:extLst>
            <c:ext xmlns:c16="http://schemas.microsoft.com/office/drawing/2014/chart" uri="{C3380CC4-5D6E-409C-BE32-E72D297353CC}">
              <c16:uniqueId val="{00000000-5AC5-43AB-994A-7A6DB7797C41}"/>
            </c:ext>
          </c:extLst>
        </c:ser>
        <c:ser>
          <c:idx val="1"/>
          <c:order val="1"/>
          <c:tx>
            <c:strRef>
              <c:f>'Avg Age'!$C$3:$C$4</c:f>
              <c:strCache>
                <c:ptCount val="1"/>
                <c:pt idx="0">
                  <c:v>low risk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Age'!$A$5:$A$10</c:f>
              <c:strCache>
                <c:ptCount val="5"/>
                <c:pt idx="0">
                  <c:v>10-20</c:v>
                </c:pt>
                <c:pt idx="1">
                  <c:v>20-30</c:v>
                </c:pt>
                <c:pt idx="2">
                  <c:v>30-40</c:v>
                </c:pt>
                <c:pt idx="3">
                  <c:v>40-50</c:v>
                </c:pt>
                <c:pt idx="4">
                  <c:v>50+</c:v>
                </c:pt>
              </c:strCache>
            </c:strRef>
          </c:cat>
          <c:val>
            <c:numRef>
              <c:f>'Avg Age'!$C$5:$C$10</c:f>
              <c:numCache>
                <c:formatCode>0.00</c:formatCode>
                <c:ptCount val="5"/>
                <c:pt idx="0">
                  <c:v>16.186666666666667</c:v>
                </c:pt>
                <c:pt idx="1">
                  <c:v>23.455882352941178</c:v>
                </c:pt>
                <c:pt idx="2">
                  <c:v>33.387755102040813</c:v>
                </c:pt>
                <c:pt idx="3">
                  <c:v>45.210526315789473</c:v>
                </c:pt>
                <c:pt idx="4">
                  <c:v>58.696969696969695</c:v>
                </c:pt>
              </c:numCache>
            </c:numRef>
          </c:val>
          <c:extLst>
            <c:ext xmlns:c16="http://schemas.microsoft.com/office/drawing/2014/chart" uri="{C3380CC4-5D6E-409C-BE32-E72D297353CC}">
              <c16:uniqueId val="{00000002-6483-4F8F-BD11-FB8253B3AAA3}"/>
            </c:ext>
          </c:extLst>
        </c:ser>
        <c:ser>
          <c:idx val="2"/>
          <c:order val="2"/>
          <c:tx>
            <c:strRef>
              <c:f>'Avg Age'!$D$3:$D$4</c:f>
              <c:strCache>
                <c:ptCount val="1"/>
                <c:pt idx="0">
                  <c:v>mid risk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Age'!$A$5:$A$10</c:f>
              <c:strCache>
                <c:ptCount val="5"/>
                <c:pt idx="0">
                  <c:v>10-20</c:v>
                </c:pt>
                <c:pt idx="1">
                  <c:v>20-30</c:v>
                </c:pt>
                <c:pt idx="2">
                  <c:v>30-40</c:v>
                </c:pt>
                <c:pt idx="3">
                  <c:v>40-50</c:v>
                </c:pt>
                <c:pt idx="4">
                  <c:v>50+</c:v>
                </c:pt>
              </c:strCache>
            </c:strRef>
          </c:cat>
          <c:val>
            <c:numRef>
              <c:f>'Avg Age'!$D$5:$D$10</c:f>
              <c:numCache>
                <c:formatCode>0.00</c:formatCode>
                <c:ptCount val="5"/>
                <c:pt idx="0">
                  <c:v>16.973214285714285</c:v>
                </c:pt>
                <c:pt idx="1">
                  <c:v>25.951219512195124</c:v>
                </c:pt>
                <c:pt idx="2">
                  <c:v>33.093023255813954</c:v>
                </c:pt>
                <c:pt idx="3">
                  <c:v>47.636363636363633</c:v>
                </c:pt>
                <c:pt idx="4">
                  <c:v>57.68</c:v>
                </c:pt>
              </c:numCache>
            </c:numRef>
          </c:val>
          <c:extLst>
            <c:ext xmlns:c16="http://schemas.microsoft.com/office/drawing/2014/chart" uri="{C3380CC4-5D6E-409C-BE32-E72D297353CC}">
              <c16:uniqueId val="{00000003-6483-4F8F-BD11-FB8253B3AAA3}"/>
            </c:ext>
          </c:extLst>
        </c:ser>
        <c:dLbls>
          <c:showLegendKey val="0"/>
          <c:showVal val="0"/>
          <c:showCatName val="0"/>
          <c:showSerName val="0"/>
          <c:showPercent val="0"/>
          <c:showBubbleSize val="0"/>
        </c:dLbls>
        <c:gapWidth val="115"/>
        <c:overlap val="-20"/>
        <c:axId val="670326720"/>
        <c:axId val="670327680"/>
      </c:barChart>
      <c:catAx>
        <c:axId val="6703267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70327680"/>
        <c:crosses val="autoZero"/>
        <c:auto val="1"/>
        <c:lblAlgn val="ctr"/>
        <c:lblOffset val="100"/>
        <c:noMultiLvlLbl val="0"/>
      </c:catAx>
      <c:valAx>
        <c:axId val="670327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703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Bs by age!PivotTable6</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Blood Sugar by Agegroup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Bs by age'!$B$3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Bs by age'!$A$4:$A$9</c:f>
              <c:strCache>
                <c:ptCount val="5"/>
                <c:pt idx="0">
                  <c:v>10-20</c:v>
                </c:pt>
                <c:pt idx="1">
                  <c:v>20-30</c:v>
                </c:pt>
                <c:pt idx="2">
                  <c:v>30-40</c:v>
                </c:pt>
                <c:pt idx="3">
                  <c:v>40-50</c:v>
                </c:pt>
                <c:pt idx="4">
                  <c:v>50+</c:v>
                </c:pt>
              </c:strCache>
            </c:strRef>
          </c:cat>
          <c:val>
            <c:numRef>
              <c:f>'Avg Bs by age'!$B$4:$B$9</c:f>
              <c:numCache>
                <c:formatCode>0.00</c:formatCode>
                <c:ptCount val="5"/>
                <c:pt idx="0">
                  <c:v>7.4048172757475097</c:v>
                </c:pt>
                <c:pt idx="1">
                  <c:v>7.6488888888888917</c:v>
                </c:pt>
                <c:pt idx="2">
                  <c:v>9.6404371584699398</c:v>
                </c:pt>
                <c:pt idx="3">
                  <c:v>11.624166666666667</c:v>
                </c:pt>
                <c:pt idx="4">
                  <c:v>11.06105263157894</c:v>
                </c:pt>
              </c:numCache>
            </c:numRef>
          </c:val>
          <c:smooth val="0"/>
          <c:extLst>
            <c:ext xmlns:c16="http://schemas.microsoft.com/office/drawing/2014/chart" uri="{C3380CC4-5D6E-409C-BE32-E72D297353CC}">
              <c16:uniqueId val="{00000000-2192-4664-94D0-B8BF435EEC04}"/>
            </c:ext>
          </c:extLst>
        </c:ser>
        <c:dLbls>
          <c:dLblPos val="t"/>
          <c:showLegendKey val="0"/>
          <c:showVal val="1"/>
          <c:showCatName val="0"/>
          <c:showSerName val="0"/>
          <c:showPercent val="0"/>
          <c:showBubbleSize val="0"/>
        </c:dLbls>
        <c:marker val="1"/>
        <c:smooth val="0"/>
        <c:axId val="706185936"/>
        <c:axId val="706186416"/>
      </c:lineChart>
      <c:catAx>
        <c:axId val="70618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186416"/>
        <c:crosses val="autoZero"/>
        <c:auto val="1"/>
        <c:lblAlgn val="ctr"/>
        <c:lblOffset val="100"/>
        <c:noMultiLvlLbl val="0"/>
      </c:catAx>
      <c:valAx>
        <c:axId val="706186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1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[6723765506.csv.xlsx]Avg Heart Rate !PivotTable4</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t>Average Heart Rate by Age Group &amp; Risk Level</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Heart Rate '!$B$3:$B$4</c:f>
              <c:strCache>
                <c:ptCount val="1"/>
                <c:pt idx="0">
                  <c:v>high risk</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'!$B$5:$B$10</c:f>
              <c:numCache>
                <c:formatCode>0.00</c:formatCode>
                <c:ptCount val="5"/>
                <c:pt idx="0">
                  <c:v>73.564102564102569</c:v>
                </c:pt>
                <c:pt idx="1">
                  <c:v>76.785714285714292</c:v>
                </c:pt>
                <c:pt idx="2">
                  <c:v>77.824175824175825</c:v>
                </c:pt>
                <c:pt idx="3">
                  <c:v>80.102040816326536</c:v>
                </c:pt>
                <c:pt idx="4">
                  <c:v>72.918918918918919</c:v>
                </c:pt>
              </c:numCache>
            </c:numRef>
          </c:val>
          <c:extLst>
            <c:ext xmlns:c16="http://schemas.microsoft.com/office/drawing/2014/chart" uri="{C3380CC4-5D6E-409C-BE32-E72D297353CC}">
              <c16:uniqueId val="{00000000-DE38-4D3A-8C16-F39E480384CE}"/>
            </c:ext>
          </c:extLst>
        </c:ser>
        <c:ser>
          <c:idx val="1"/>
          <c:order val="1"/>
          <c:tx>
            <c:strRef>
              <c:f>'Avg Heart Rate '!$C$3:$C$4</c:f>
              <c:strCache>
                <c:ptCount val="1"/>
                <c:pt idx="0">
                  <c:v>low risk</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'!$C$5:$C$10</c:f>
              <c:numCache>
                <c:formatCode>0.00</c:formatCode>
                <c:ptCount val="5"/>
                <c:pt idx="0">
                  <c:v>72.673333333333332</c:v>
                </c:pt>
                <c:pt idx="1">
                  <c:v>73.639705882352942</c:v>
                </c:pt>
                <c:pt idx="2">
                  <c:v>70.142857142857139</c:v>
                </c:pt>
                <c:pt idx="3">
                  <c:v>72.526315789473685</c:v>
                </c:pt>
                <c:pt idx="4">
                  <c:v>73.818181818181813</c:v>
                </c:pt>
              </c:numCache>
            </c:numRef>
          </c:val>
          <c:extLst>
            <c:ext xmlns:c16="http://schemas.microsoft.com/office/drawing/2014/chart" uri="{C3380CC4-5D6E-409C-BE32-E72D297353CC}">
              <c16:uniqueId val="{00000002-619A-4DEB-B395-8F192F20EEE1}"/>
            </c:ext>
          </c:extLst>
        </c:ser>
        <c:ser>
          <c:idx val="2"/>
          <c:order val="2"/>
          <c:tx>
            <c:strRef>
              <c:f>'Avg Heart Rate '!$D$3:$D$4</c:f>
              <c:strCache>
                <c:ptCount val="1"/>
                <c:pt idx="0">
                  <c:v>mid risk</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'Avg Heart Rate '!$A$5:$A$10</c:f>
              <c:strCache>
                <c:ptCount val="5"/>
                <c:pt idx="0">
                  <c:v>10-20</c:v>
                </c:pt>
                <c:pt idx="1">
                  <c:v>20-30</c:v>
                </c:pt>
                <c:pt idx="2">
                  <c:v>30-40</c:v>
                </c:pt>
                <c:pt idx="3">
                  <c:v>40-50</c:v>
                </c:pt>
                <c:pt idx="4">
                  <c:v>50+</c:v>
                </c:pt>
              </c:strCache>
            </c:strRef>
          </c:cat>
          <c:val>
            <c:numRef>
              <c:f>'Avg Heart Rate '!$D$5:$D$10</c:f>
              <c:numCache>
                <c:formatCode>0.00</c:formatCode>
                <c:ptCount val="5"/>
                <c:pt idx="0">
                  <c:v>72.419642857142861</c:v>
                </c:pt>
                <c:pt idx="1">
                  <c:v>76.113821138211378</c:v>
                </c:pt>
                <c:pt idx="2">
                  <c:v>74.372093023255815</c:v>
                </c:pt>
                <c:pt idx="3">
                  <c:v>75.575757575757578</c:v>
                </c:pt>
                <c:pt idx="4">
                  <c:v>70.319999999999993</c:v>
                </c:pt>
              </c:numCache>
            </c:numRef>
          </c:val>
          <c:extLst>
            <c:ext xmlns:c16="http://schemas.microsoft.com/office/drawing/2014/chart" uri="{C3380CC4-5D6E-409C-BE32-E72D297353CC}">
              <c16:uniqueId val="{00000003-619A-4DEB-B395-8F192F20EEE1}"/>
            </c:ext>
          </c:extLst>
        </c:ser>
        <c:dLbls>
          <c:showLegendKey val="0"/>
          <c:showVal val="0"/>
          <c:showCatName val="0"/>
          <c:showSerName val="0"/>
          <c:showPercent val="0"/>
          <c:showBubbleSize val="0"/>
        </c:dLbls>
        <c:gapWidth val="100"/>
        <c:overlap val="-24"/>
        <c:axId val="485384848"/>
        <c:axId val="485385808"/>
      </c:barChart>
      <c:catAx>
        <c:axId val="48538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485385808"/>
        <c:crosses val="autoZero"/>
        <c:auto val="1"/>
        <c:lblAlgn val="ctr"/>
        <c:lblOffset val="100"/>
        <c:noMultiLvlLbl val="0"/>
      </c:catAx>
      <c:valAx>
        <c:axId val="485385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4853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53340</xdr:colOff>
      <xdr:row>0</xdr:row>
      <xdr:rowOff>76199</xdr:rowOff>
    </xdr:from>
    <xdr:ext cx="19478513" cy="7386919"/>
    <xdr:sp macro="" textlink="">
      <xdr:nvSpPr>
        <xdr:cNvPr id="2" name="TextBox 1">
          <a:extLst>
            <a:ext uri="{FF2B5EF4-FFF2-40B4-BE49-F238E27FC236}">
              <a16:creationId xmlns:a16="http://schemas.microsoft.com/office/drawing/2014/main" id="{61501018-05E2-88A0-1C41-96C3703B2086}"/>
            </a:ext>
          </a:extLst>
        </xdr:cNvPr>
        <xdr:cNvSpPr txBox="1"/>
      </xdr:nvSpPr>
      <xdr:spPr>
        <a:xfrm>
          <a:off x="53340" y="76199"/>
          <a:ext cx="19478513" cy="7386919"/>
        </a:xfrm>
        <a:prstGeom prst="rect">
          <a:avLst/>
        </a:prstGeom>
        <a:gradFill flip="none" rotWithShape="1">
          <a:gsLst>
            <a:gs pos="20000">
              <a:schemeClr val="accent1">
                <a:lumMod val="40000"/>
                <a:lumOff val="60000"/>
              </a:schemeClr>
            </a:gs>
            <a:gs pos="0">
              <a:schemeClr val="accent1">
                <a:lumMod val="40000"/>
                <a:lumOff val="60000"/>
                <a:shade val="67500"/>
                <a:satMod val="115000"/>
              </a:schemeClr>
            </a:gs>
            <a:gs pos="100000">
              <a:schemeClr val="bg1"/>
            </a:gs>
          </a:gsLst>
          <a:lin ang="16200000" scaled="1"/>
          <a:tileRect/>
        </a:gra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800" b="1" cap="none" spc="0">
              <a:ln w="0"/>
              <a:solidFill>
                <a:schemeClr val="accent1"/>
              </a:solidFill>
              <a:effectLst>
                <a:outerShdw blurRad="38100" dist="25400" dir="5400000" algn="ctr" rotWithShape="0">
                  <a:srgbClr val="6E747A">
                    <a:alpha val="43000"/>
                  </a:srgbClr>
                </a:outerShdw>
              </a:effectLst>
            </a:rPr>
            <a:t>MaternalHealthRisk Dashboard</a:t>
          </a:r>
          <a:endParaRPr lang="th-TH" sz="28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0</xdr:col>
      <xdr:colOff>84230</xdr:colOff>
      <xdr:row>0</xdr:row>
      <xdr:rowOff>117389</xdr:rowOff>
    </xdr:from>
    <xdr:to>
      <xdr:col>9</xdr:col>
      <xdr:colOff>392205</xdr:colOff>
      <xdr:row>18</xdr:row>
      <xdr:rowOff>56030</xdr:rowOff>
    </xdr:to>
    <xdr:graphicFrame macro="">
      <xdr:nvGraphicFramePr>
        <xdr:cNvPr id="4" name="Chart 3">
          <a:extLst>
            <a:ext uri="{FF2B5EF4-FFF2-40B4-BE49-F238E27FC236}">
              <a16:creationId xmlns:a16="http://schemas.microsoft.com/office/drawing/2014/main" id="{48AFB660-5A2E-4D01-9AA5-DBBA5ADA7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139353</xdr:colOff>
      <xdr:row>18</xdr:row>
      <xdr:rowOff>123264</xdr:rowOff>
    </xdr:from>
    <xdr:to>
      <xdr:col>8</xdr:col>
      <xdr:colOff>461818</xdr:colOff>
      <xdr:row>41</xdr:row>
      <xdr:rowOff>161636</xdr:rowOff>
    </xdr:to>
    <xdr:graphicFrame macro="">
      <xdr:nvGraphicFramePr>
        <xdr:cNvPr id="8" name="Chart 7">
          <a:extLst>
            <a:ext uri="{FF2B5EF4-FFF2-40B4-BE49-F238E27FC236}">
              <a16:creationId xmlns:a16="http://schemas.microsoft.com/office/drawing/2014/main" id="{B9941C3C-8C05-452A-BB92-9BDBF8DA5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369455</xdr:colOff>
      <xdr:row>19</xdr:row>
      <xdr:rowOff>22235</xdr:rowOff>
    </xdr:from>
    <xdr:to>
      <xdr:col>23</xdr:col>
      <xdr:colOff>427182</xdr:colOff>
      <xdr:row>42</xdr:row>
      <xdr:rowOff>0</xdr:rowOff>
    </xdr:to>
    <xdr:graphicFrame macro="">
      <xdr:nvGraphicFramePr>
        <xdr:cNvPr id="10" name="Chart 9">
          <a:extLst>
            <a:ext uri="{FF2B5EF4-FFF2-40B4-BE49-F238E27FC236}">
              <a16:creationId xmlns:a16="http://schemas.microsoft.com/office/drawing/2014/main" id="{CF44CEC4-25FA-4465-BDAF-598BBCAD9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521123</xdr:colOff>
      <xdr:row>19</xdr:row>
      <xdr:rowOff>56029</xdr:rowOff>
    </xdr:from>
    <xdr:to>
      <xdr:col>17</xdr:col>
      <xdr:colOff>311728</xdr:colOff>
      <xdr:row>42</xdr:row>
      <xdr:rowOff>22412</xdr:rowOff>
    </xdr:to>
    <xdr:graphicFrame macro="">
      <xdr:nvGraphicFramePr>
        <xdr:cNvPr id="12" name="Chart 11">
          <a:extLst>
            <a:ext uri="{FF2B5EF4-FFF2-40B4-BE49-F238E27FC236}">
              <a16:creationId xmlns:a16="http://schemas.microsoft.com/office/drawing/2014/main" id="{70E59368-F9FD-4F55-97CB-6C31FD865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491387</xdr:colOff>
      <xdr:row>3</xdr:row>
      <xdr:rowOff>97933</xdr:rowOff>
    </xdr:from>
    <xdr:to>
      <xdr:col>18</xdr:col>
      <xdr:colOff>288636</xdr:colOff>
      <xdr:row>18</xdr:row>
      <xdr:rowOff>151720</xdr:rowOff>
    </xdr:to>
    <xdr:graphicFrame macro="">
      <xdr:nvGraphicFramePr>
        <xdr:cNvPr id="14" name="Chart 13">
          <a:extLst>
            <a:ext uri="{FF2B5EF4-FFF2-40B4-BE49-F238E27FC236}">
              <a16:creationId xmlns:a16="http://schemas.microsoft.com/office/drawing/2014/main" id="{A298928D-11A5-4F11-928D-FE2E31B5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346363</xdr:colOff>
      <xdr:row>0</xdr:row>
      <xdr:rowOff>156340</xdr:rowOff>
    </xdr:from>
    <xdr:to>
      <xdr:col>29</xdr:col>
      <xdr:colOff>23090</xdr:colOff>
      <xdr:row>18</xdr:row>
      <xdr:rowOff>80819</xdr:rowOff>
    </xdr:to>
    <xdr:graphicFrame macro="">
      <xdr:nvGraphicFramePr>
        <xdr:cNvPr id="16" name="Chart 15">
          <a:extLst>
            <a:ext uri="{FF2B5EF4-FFF2-40B4-BE49-F238E27FC236}">
              <a16:creationId xmlns:a16="http://schemas.microsoft.com/office/drawing/2014/main" id="{822A215C-2C49-4290-983C-E0AA23BBD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191926</xdr:colOff>
      <xdr:row>18</xdr:row>
      <xdr:rowOff>147170</xdr:rowOff>
    </xdr:from>
    <xdr:to>
      <xdr:col>29</xdr:col>
      <xdr:colOff>3667</xdr:colOff>
      <xdr:row>25</xdr:row>
      <xdr:rowOff>115455</xdr:rowOff>
    </xdr:to>
    <mc:AlternateContent xmlns:mc="http://schemas.openxmlformats.org/markup-compatibility/2006" xmlns:a14="http://schemas.microsoft.com/office/drawing/2010/main">
      <mc:Choice Requires="a14">
        <xdr:graphicFrame macro="">
          <xdr:nvGraphicFramePr>
            <xdr:cNvPr id="17" name="RiskLevel">
              <a:extLst>
                <a:ext uri="{FF2B5EF4-FFF2-40B4-BE49-F238E27FC236}">
                  <a16:creationId xmlns:a16="http://schemas.microsoft.com/office/drawing/2014/main" id="{CE570129-B499-2E9F-AF2A-382C9E1B28CB}"/>
                </a:ext>
              </a:extLst>
            </xdr:cNvPr>
            <xdr:cNvGraphicFramePr/>
          </xdr:nvGraphicFramePr>
          <xdr:xfrm>
            <a:off x="0" y="0"/>
            <a:ext cx="0" cy="0"/>
          </xdr:xfrm>
          <a:graphic>
            <a:graphicData uri="http://schemas.microsoft.com/office/drawing/2010/slicer">
              <sle:slicer xmlns:sle="http://schemas.microsoft.com/office/drawing/2010/slicer" name="RiskLevel"/>
            </a:graphicData>
          </a:graphic>
        </xdr:graphicFrame>
      </mc:Choice>
      <mc:Fallback xmlns="">
        <xdr:sp macro="" textlink="">
          <xdr:nvSpPr>
            <xdr:cNvPr id="0" name=""/>
            <xdr:cNvSpPr>
              <a:spLocks noTextEdit="1"/>
            </xdr:cNvSpPr>
          </xdr:nvSpPr>
          <xdr:spPr>
            <a:xfrm>
              <a:off x="17638314" y="3217916"/>
              <a:ext cx="1824786" cy="1162464"/>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494393</xdr:colOff>
      <xdr:row>19</xdr:row>
      <xdr:rowOff>-1</xdr:rowOff>
    </xdr:from>
    <xdr:to>
      <xdr:col>26</xdr:col>
      <xdr:colOff>115457</xdr:colOff>
      <xdr:row>29</xdr:row>
      <xdr:rowOff>0</xdr:rowOff>
    </xdr:to>
    <mc:AlternateContent xmlns:mc="http://schemas.openxmlformats.org/markup-compatibility/2006" xmlns:a14="http://schemas.microsoft.com/office/drawing/2010/main">
      <mc:Choice Requires="a14">
        <xdr:graphicFrame macro="">
          <xdr:nvGraphicFramePr>
            <xdr:cNvPr id="18" name="Age Group">
              <a:extLst>
                <a:ext uri="{FF2B5EF4-FFF2-40B4-BE49-F238E27FC236}">
                  <a16:creationId xmlns:a16="http://schemas.microsoft.com/office/drawing/2014/main" id="{DC24582B-7326-B352-8D7D-E262CE5C066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927736" y="3241342"/>
              <a:ext cx="1634109" cy="1705971"/>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473364</xdr:colOff>
      <xdr:row>29</xdr:row>
      <xdr:rowOff>86197</xdr:rowOff>
    </xdr:from>
    <xdr:to>
      <xdr:col>26</xdr:col>
      <xdr:colOff>156966</xdr:colOff>
      <xdr:row>36</xdr:row>
      <xdr:rowOff>114435</xdr:rowOff>
    </xdr:to>
    <mc:AlternateContent xmlns:mc="http://schemas.openxmlformats.org/markup-compatibility/2006" xmlns:a14="http://schemas.microsoft.com/office/drawing/2010/main">
      <mc:Choice Requires="a14">
        <xdr:graphicFrame macro="">
          <xdr:nvGraphicFramePr>
            <xdr:cNvPr id="19" name="Heartrate Category">
              <a:extLst>
                <a:ext uri="{FF2B5EF4-FFF2-40B4-BE49-F238E27FC236}">
                  <a16:creationId xmlns:a16="http://schemas.microsoft.com/office/drawing/2014/main" id="{488328F0-1BD5-8976-896A-A04441C01E5B}"/>
                </a:ext>
              </a:extLst>
            </xdr:cNvPr>
            <xdr:cNvGraphicFramePr/>
          </xdr:nvGraphicFramePr>
          <xdr:xfrm>
            <a:off x="0" y="0"/>
            <a:ext cx="0" cy="0"/>
          </xdr:xfrm>
          <a:graphic>
            <a:graphicData uri="http://schemas.microsoft.com/office/drawing/2010/slicer">
              <sle:slicer xmlns:sle="http://schemas.microsoft.com/office/drawing/2010/slicer" name="Heartrate Category"/>
            </a:graphicData>
          </a:graphic>
        </xdr:graphicFrame>
      </mc:Choice>
      <mc:Fallback xmlns="">
        <xdr:sp macro="" textlink="">
          <xdr:nvSpPr>
            <xdr:cNvPr id="0" name=""/>
            <xdr:cNvSpPr>
              <a:spLocks noTextEdit="1"/>
            </xdr:cNvSpPr>
          </xdr:nvSpPr>
          <xdr:spPr>
            <a:xfrm>
              <a:off x="15906707" y="5033510"/>
              <a:ext cx="1696647" cy="1222418"/>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484909</xdr:colOff>
      <xdr:row>36</xdr:row>
      <xdr:rowOff>164205</xdr:rowOff>
    </xdr:from>
    <xdr:to>
      <xdr:col>26</xdr:col>
      <xdr:colOff>212898</xdr:colOff>
      <xdr:row>42</xdr:row>
      <xdr:rowOff>138546</xdr:rowOff>
    </xdr:to>
    <mc:AlternateContent xmlns:mc="http://schemas.openxmlformats.org/markup-compatibility/2006" xmlns:a14="http://schemas.microsoft.com/office/drawing/2010/main">
      <mc:Choice Requires="a14">
        <xdr:graphicFrame macro="">
          <xdr:nvGraphicFramePr>
            <xdr:cNvPr id="20" name="BodyTemp Category">
              <a:extLst>
                <a:ext uri="{FF2B5EF4-FFF2-40B4-BE49-F238E27FC236}">
                  <a16:creationId xmlns:a16="http://schemas.microsoft.com/office/drawing/2014/main" id="{333C2DA6-D937-3BA9-D601-29B2C84AEEB8}"/>
                </a:ext>
              </a:extLst>
            </xdr:cNvPr>
            <xdr:cNvGraphicFramePr/>
          </xdr:nvGraphicFramePr>
          <xdr:xfrm>
            <a:off x="0" y="0"/>
            <a:ext cx="0" cy="0"/>
          </xdr:xfrm>
          <a:graphic>
            <a:graphicData uri="http://schemas.microsoft.com/office/drawing/2010/slicer">
              <sle:slicer xmlns:sle="http://schemas.microsoft.com/office/drawing/2010/slicer" name="BodyTemp Category"/>
            </a:graphicData>
          </a:graphic>
        </xdr:graphicFrame>
      </mc:Choice>
      <mc:Fallback xmlns="">
        <xdr:sp macro="" textlink="">
          <xdr:nvSpPr>
            <xdr:cNvPr id="0" name=""/>
            <xdr:cNvSpPr>
              <a:spLocks noTextEdit="1"/>
            </xdr:cNvSpPr>
          </xdr:nvSpPr>
          <xdr:spPr>
            <a:xfrm>
              <a:off x="15918252" y="6305698"/>
              <a:ext cx="1741034" cy="997923"/>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205752</xdr:colOff>
      <xdr:row>25</xdr:row>
      <xdr:rowOff>161637</xdr:rowOff>
    </xdr:from>
    <xdr:to>
      <xdr:col>29</xdr:col>
      <xdr:colOff>20209</xdr:colOff>
      <xdr:row>35</xdr:row>
      <xdr:rowOff>137525</xdr:rowOff>
    </xdr:to>
    <mc:AlternateContent xmlns:mc="http://schemas.openxmlformats.org/markup-compatibility/2006" xmlns:a14="http://schemas.microsoft.com/office/drawing/2010/main">
      <mc:Choice Requires="a14">
        <xdr:graphicFrame macro="">
          <xdr:nvGraphicFramePr>
            <xdr:cNvPr id="21" name="BP Category">
              <a:extLst>
                <a:ext uri="{FF2B5EF4-FFF2-40B4-BE49-F238E27FC236}">
                  <a16:creationId xmlns:a16="http://schemas.microsoft.com/office/drawing/2014/main" id="{FAD58475-05B4-01CE-3C01-056FFA58D06D}"/>
                </a:ext>
              </a:extLst>
            </xdr:cNvPr>
            <xdr:cNvGraphicFramePr/>
          </xdr:nvGraphicFramePr>
          <xdr:xfrm>
            <a:off x="0" y="0"/>
            <a:ext cx="0" cy="0"/>
          </xdr:xfrm>
          <a:graphic>
            <a:graphicData uri="http://schemas.microsoft.com/office/drawing/2010/slicer">
              <sle:slicer xmlns:sle="http://schemas.microsoft.com/office/drawing/2010/slicer" name="BP Category"/>
            </a:graphicData>
          </a:graphic>
        </xdr:graphicFrame>
      </mc:Choice>
      <mc:Fallback xmlns="">
        <xdr:sp macro="" textlink="">
          <xdr:nvSpPr>
            <xdr:cNvPr id="0" name=""/>
            <xdr:cNvSpPr>
              <a:spLocks noTextEdit="1"/>
            </xdr:cNvSpPr>
          </xdr:nvSpPr>
          <xdr:spPr>
            <a:xfrm>
              <a:off x="17652140" y="4426562"/>
              <a:ext cx="1827502" cy="1681859"/>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261690</xdr:colOff>
      <xdr:row>35</xdr:row>
      <xdr:rowOff>164295</xdr:rowOff>
    </xdr:from>
    <xdr:to>
      <xdr:col>29</xdr:col>
      <xdr:colOff>76147</xdr:colOff>
      <xdr:row>43</xdr:row>
      <xdr:rowOff>0</xdr:rowOff>
    </xdr:to>
    <mc:AlternateContent xmlns:mc="http://schemas.openxmlformats.org/markup-compatibility/2006" xmlns:a14="http://schemas.microsoft.com/office/drawing/2010/main">
      <mc:Choice Requires="a14">
        <xdr:graphicFrame macro="">
          <xdr:nvGraphicFramePr>
            <xdr:cNvPr id="22" name="BS Category">
              <a:extLst>
                <a:ext uri="{FF2B5EF4-FFF2-40B4-BE49-F238E27FC236}">
                  <a16:creationId xmlns:a16="http://schemas.microsoft.com/office/drawing/2014/main" id="{7B734246-8DD9-C866-9979-2F3160DAAE28}"/>
                </a:ext>
              </a:extLst>
            </xdr:cNvPr>
            <xdr:cNvGraphicFramePr/>
          </xdr:nvGraphicFramePr>
          <xdr:xfrm>
            <a:off x="0" y="0"/>
            <a:ext cx="0" cy="0"/>
          </xdr:xfrm>
          <a:graphic>
            <a:graphicData uri="http://schemas.microsoft.com/office/drawing/2010/slicer">
              <sle:slicer xmlns:sle="http://schemas.microsoft.com/office/drawing/2010/slicer" name="BS Category"/>
            </a:graphicData>
          </a:graphic>
        </xdr:graphicFrame>
      </mc:Choice>
      <mc:Fallback xmlns="">
        <xdr:sp macro="" textlink="">
          <xdr:nvSpPr>
            <xdr:cNvPr id="0" name=""/>
            <xdr:cNvSpPr>
              <a:spLocks noTextEdit="1"/>
            </xdr:cNvSpPr>
          </xdr:nvSpPr>
          <xdr:spPr>
            <a:xfrm>
              <a:off x="17708078" y="6135191"/>
              <a:ext cx="1827502" cy="1200481"/>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489857</xdr:colOff>
      <xdr:row>2</xdr:row>
      <xdr:rowOff>132184</xdr:rowOff>
    </xdr:from>
    <xdr:to>
      <xdr:col>8</xdr:col>
      <xdr:colOff>574561</xdr:colOff>
      <xdr:row>24</xdr:row>
      <xdr:rowOff>111746</xdr:rowOff>
    </xdr:to>
    <xdr:pic>
      <xdr:nvPicPr>
        <xdr:cNvPr id="4" name="Picture 3">
          <a:extLst>
            <a:ext uri="{FF2B5EF4-FFF2-40B4-BE49-F238E27FC236}">
              <a16:creationId xmlns:a16="http://schemas.microsoft.com/office/drawing/2014/main" id="{B04ECC37-6197-2372-30B7-700E55B1B328}"/>
            </a:ext>
          </a:extLst>
        </xdr:cNvPr>
        <xdr:cNvPicPr>
          <a:picLocks noChangeAspect="1"/>
        </xdr:cNvPicPr>
      </xdr:nvPicPr>
      <xdr:blipFill>
        <a:blip xmlns:r="http://schemas.openxmlformats.org/officeDocument/2006/relationships" r:embed="rId1"/>
        <a:stretch>
          <a:fillRect/>
        </a:stretch>
      </xdr:blipFill>
      <xdr:spPr>
        <a:xfrm>
          <a:off x="2558143" y="489857"/>
          <a:ext cx="4096867" cy="39139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320040</xdr:colOff>
      <xdr:row>8</xdr:row>
      <xdr:rowOff>133350</xdr:rowOff>
    </xdr:from>
    <xdr:to>
      <xdr:col>4</xdr:col>
      <xdr:colOff>22860</xdr:colOff>
      <xdr:row>24</xdr:row>
      <xdr:rowOff>72390</xdr:rowOff>
    </xdr:to>
    <xdr:graphicFrame macro="">
      <xdr:nvGraphicFramePr>
        <xdr:cNvPr id="2" name="Chart 1">
          <a:extLst>
            <a:ext uri="{FF2B5EF4-FFF2-40B4-BE49-F238E27FC236}">
              <a16:creationId xmlns:a16="http://schemas.microsoft.com/office/drawing/2014/main" id="{8F5C6C62-E0EC-0EB8-2073-336C3EB10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441960</xdr:colOff>
      <xdr:row>11</xdr:row>
      <xdr:rowOff>118110</xdr:rowOff>
    </xdr:from>
    <xdr:to>
      <xdr:col>4</xdr:col>
      <xdr:colOff>678180</xdr:colOff>
      <xdr:row>27</xdr:row>
      <xdr:rowOff>57150</xdr:rowOff>
    </xdr:to>
    <xdr:graphicFrame macro="">
      <xdr:nvGraphicFramePr>
        <xdr:cNvPr id="2" name="Chart 1">
          <a:extLst>
            <a:ext uri="{FF2B5EF4-FFF2-40B4-BE49-F238E27FC236}">
              <a16:creationId xmlns:a16="http://schemas.microsoft.com/office/drawing/2014/main" id="{2024EC43-1091-6C66-E92F-3F397C7CC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373380</xdr:colOff>
      <xdr:row>1</xdr:row>
      <xdr:rowOff>167640</xdr:rowOff>
    </xdr:from>
    <xdr:to>
      <xdr:col>11</xdr:col>
      <xdr:colOff>174724</xdr:colOff>
      <xdr:row>16</xdr:row>
      <xdr:rowOff>151482</xdr:rowOff>
    </xdr:to>
    <xdr:graphicFrame macro="">
      <xdr:nvGraphicFramePr>
        <xdr:cNvPr id="3" name="Chart 2">
          <a:extLst>
            <a:ext uri="{FF2B5EF4-FFF2-40B4-BE49-F238E27FC236}">
              <a16:creationId xmlns:a16="http://schemas.microsoft.com/office/drawing/2014/main" id="{EDABDE2C-D51A-4A8C-BC6E-0C7DC398D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213360</xdr:colOff>
      <xdr:row>2</xdr:row>
      <xdr:rowOff>110490</xdr:rowOff>
    </xdr:from>
    <xdr:to>
      <xdr:col>10</xdr:col>
      <xdr:colOff>647700</xdr:colOff>
      <xdr:row>18</xdr:row>
      <xdr:rowOff>49530</xdr:rowOff>
    </xdr:to>
    <xdr:graphicFrame macro="">
      <xdr:nvGraphicFramePr>
        <xdr:cNvPr id="2" name="Chart 1">
          <a:extLst>
            <a:ext uri="{FF2B5EF4-FFF2-40B4-BE49-F238E27FC236}">
              <a16:creationId xmlns:a16="http://schemas.microsoft.com/office/drawing/2014/main" id="{89C4D6B5-E65F-1AA7-DFCE-DED73AC95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525780</xdr:colOff>
      <xdr:row>2</xdr:row>
      <xdr:rowOff>91440</xdr:rowOff>
    </xdr:from>
    <xdr:to>
      <xdr:col>16</xdr:col>
      <xdr:colOff>221593</xdr:colOff>
      <xdr:row>19</xdr:row>
      <xdr:rowOff>117608</xdr:rowOff>
    </xdr:to>
    <xdr:pic>
      <xdr:nvPicPr>
        <xdr:cNvPr id="5" name="Picture 4">
          <a:extLst>
            <a:ext uri="{FF2B5EF4-FFF2-40B4-BE49-F238E27FC236}">
              <a16:creationId xmlns:a16="http://schemas.microsoft.com/office/drawing/2014/main" id="{9F489C54-8EB3-A4A1-6457-6EEA1EB2BB3F}"/>
            </a:ext>
          </a:extLst>
        </xdr:cNvPr>
        <xdr:cNvPicPr>
          <a:picLocks noChangeAspect="1"/>
        </xdr:cNvPicPr>
      </xdr:nvPicPr>
      <xdr:blipFill>
        <a:blip xmlns:r="http://schemas.openxmlformats.org/officeDocument/2006/relationships" r:embed="rId1"/>
        <a:stretch>
          <a:fillRect/>
        </a:stretch>
      </xdr:blipFill>
      <xdr:spPr>
        <a:xfrm>
          <a:off x="5257800" y="441960"/>
          <a:ext cx="7071973" cy="30055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itoey" refreshedDate="45981.787651388891" createdVersion="8" refreshedVersion="8" minRefreshableVersion="3" recordCount="1014" xr:uid="{9B9806DE-F4CD-4C7C-AB4E-F354B8F0DB79}">
  <cacheSource type="worksheet">
    <worksheetSource name="Table1"/>
  </cacheSource>
  <cacheFields count="12">
    <cacheField name="Age" numFmtId="0">
      <sharedItems containsSemiMixedTypes="0" containsString="0" containsNumber="1" containsInteger="1" minValue="10" maxValue="70"/>
    </cacheField>
    <cacheField name="SystolicBP" numFmtId="0">
      <sharedItems containsSemiMixedTypes="0" containsString="0" containsNumber="1" containsInteger="1" minValue="70" maxValue="160"/>
    </cacheField>
    <cacheField name="DiastolicBP" numFmtId="0">
      <sharedItems containsSemiMixedTypes="0" containsString="0" containsNumber="1" containsInteger="1" minValue="49" maxValue="100"/>
    </cacheField>
    <cacheField name="BS" numFmtId="0">
      <sharedItems containsSemiMixedTypes="0" containsString="0" containsNumber="1" minValue="6" maxValue="19"/>
    </cacheField>
    <cacheField name="BodyTemp" numFmtId="0">
      <sharedItems containsSemiMixedTypes="0" containsString="0" containsNumber="1" minValue="98" maxValue="103" count="8">
        <n v="98"/>
        <n v="100"/>
        <n v="102"/>
        <n v="101"/>
        <n v="103"/>
        <n v="98.4"/>
        <n v="99"/>
        <n v="98.6"/>
      </sharedItems>
    </cacheField>
    <cacheField name="HeartRate" numFmtId="0">
      <sharedItems containsSemiMixedTypes="0" containsString="0" containsNumber="1" containsInteger="1" minValue="7" maxValue="90"/>
    </cacheField>
    <cacheField name="RiskLevel" numFmtId="0">
      <sharedItems count="3">
        <s v="high risk"/>
        <s v="low risk"/>
        <s v="mid risk"/>
      </sharedItems>
    </cacheField>
    <cacheField name="Age Group" numFmtId="0">
      <sharedItems count="5">
        <s v="20-30"/>
        <s v="30-40"/>
        <s v="40-50"/>
        <s v="10-20"/>
        <s v="50+"/>
      </sharedItems>
    </cacheField>
    <cacheField name="BP Category" numFmtId="0">
      <sharedItems count="5">
        <s v="Pre-High"/>
        <s v="High"/>
        <s v="Normal"/>
        <s v="Critical"/>
        <s v="Low BP"/>
      </sharedItems>
    </cacheField>
    <cacheField name="BS Category" numFmtId="0">
      <sharedItems count="3">
        <s v="High"/>
        <s v="Slightly High"/>
        <s v="Normal"/>
      </sharedItems>
    </cacheField>
    <cacheField name="Heartrate Category" numFmtId="0">
      <sharedItems count="3">
        <s v="High"/>
        <s v="Normal"/>
        <s v="Low"/>
      </sharedItems>
    </cacheField>
    <cacheField name="BodyTemp Category" numFmtId="0">
      <sharedItems count="2">
        <s v="Normal"/>
        <s v="High"/>
      </sharedItems>
    </cacheField>
  </cacheFields>
  <extLst>
    <ext xmlns:x14="http://schemas.microsoft.com/office/spreadsheetml/2009/9/main" uri="{725AE2AE-9491-48be-B2B4-4EB974FC3084}">
      <x14:pivotCacheDefinition pivotCacheId="1012745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n v="25"/>
    <n v="130"/>
    <n v="80"/>
    <n v="15"/>
    <x v="0"/>
    <n v="86"/>
    <x v="0"/>
    <x v="0"/>
    <x v="0"/>
    <x v="0"/>
    <x v="0"/>
    <x v="0"/>
  </r>
  <r>
    <n v="35"/>
    <n v="140"/>
    <n v="90"/>
    <n v="13"/>
    <x v="0"/>
    <n v="70"/>
    <x v="0"/>
    <x v="1"/>
    <x v="1"/>
    <x v="0"/>
    <x v="1"/>
    <x v="0"/>
  </r>
  <r>
    <n v="29"/>
    <n v="90"/>
    <n v="70"/>
    <n v="8"/>
    <x v="1"/>
    <n v="80"/>
    <x v="0"/>
    <x v="0"/>
    <x v="2"/>
    <x v="1"/>
    <x v="1"/>
    <x v="1"/>
  </r>
  <r>
    <n v="30"/>
    <n v="140"/>
    <n v="85"/>
    <n v="7"/>
    <x v="0"/>
    <n v="70"/>
    <x v="0"/>
    <x v="0"/>
    <x v="1"/>
    <x v="2"/>
    <x v="1"/>
    <x v="0"/>
  </r>
  <r>
    <n v="35"/>
    <n v="120"/>
    <n v="60"/>
    <n v="6.1"/>
    <x v="0"/>
    <n v="76"/>
    <x v="1"/>
    <x v="1"/>
    <x v="0"/>
    <x v="2"/>
    <x v="1"/>
    <x v="0"/>
  </r>
  <r>
    <n v="23"/>
    <n v="140"/>
    <n v="80"/>
    <n v="7.01"/>
    <x v="0"/>
    <n v="70"/>
    <x v="0"/>
    <x v="0"/>
    <x v="1"/>
    <x v="2"/>
    <x v="1"/>
    <x v="0"/>
  </r>
  <r>
    <n v="23"/>
    <n v="130"/>
    <n v="70"/>
    <n v="7.01"/>
    <x v="0"/>
    <n v="78"/>
    <x v="2"/>
    <x v="0"/>
    <x v="0"/>
    <x v="2"/>
    <x v="1"/>
    <x v="0"/>
  </r>
  <r>
    <n v="35"/>
    <n v="85"/>
    <n v="60"/>
    <n v="11"/>
    <x v="2"/>
    <n v="86"/>
    <x v="0"/>
    <x v="1"/>
    <x v="2"/>
    <x v="1"/>
    <x v="0"/>
    <x v="1"/>
  </r>
  <r>
    <n v="32"/>
    <n v="120"/>
    <n v="90"/>
    <n v="6.9"/>
    <x v="0"/>
    <n v="70"/>
    <x v="2"/>
    <x v="1"/>
    <x v="1"/>
    <x v="2"/>
    <x v="1"/>
    <x v="0"/>
  </r>
  <r>
    <n v="42"/>
    <n v="130"/>
    <n v="80"/>
    <n v="18"/>
    <x v="0"/>
    <n v="70"/>
    <x v="0"/>
    <x v="2"/>
    <x v="0"/>
    <x v="0"/>
    <x v="1"/>
    <x v="0"/>
  </r>
  <r>
    <n v="23"/>
    <n v="90"/>
    <n v="60"/>
    <n v="7.01"/>
    <x v="0"/>
    <n v="76"/>
    <x v="1"/>
    <x v="0"/>
    <x v="2"/>
    <x v="2"/>
    <x v="1"/>
    <x v="0"/>
  </r>
  <r>
    <n v="19"/>
    <n v="120"/>
    <n v="80"/>
    <n v="7"/>
    <x v="0"/>
    <n v="70"/>
    <x v="2"/>
    <x v="3"/>
    <x v="0"/>
    <x v="2"/>
    <x v="1"/>
    <x v="0"/>
  </r>
  <r>
    <n v="25"/>
    <n v="110"/>
    <n v="89"/>
    <n v="7.01"/>
    <x v="0"/>
    <n v="77"/>
    <x v="1"/>
    <x v="0"/>
    <x v="0"/>
    <x v="2"/>
    <x v="1"/>
    <x v="0"/>
  </r>
  <r>
    <n v="20"/>
    <n v="120"/>
    <n v="75"/>
    <n v="7.01"/>
    <x v="1"/>
    <n v="70"/>
    <x v="2"/>
    <x v="3"/>
    <x v="0"/>
    <x v="2"/>
    <x v="1"/>
    <x v="1"/>
  </r>
  <r>
    <n v="48"/>
    <n v="120"/>
    <n v="80"/>
    <n v="11"/>
    <x v="0"/>
    <n v="88"/>
    <x v="2"/>
    <x v="2"/>
    <x v="0"/>
    <x v="1"/>
    <x v="0"/>
    <x v="0"/>
  </r>
  <r>
    <n v="15"/>
    <n v="120"/>
    <n v="80"/>
    <n v="7.01"/>
    <x v="0"/>
    <n v="70"/>
    <x v="1"/>
    <x v="3"/>
    <x v="0"/>
    <x v="2"/>
    <x v="1"/>
    <x v="0"/>
  </r>
  <r>
    <n v="50"/>
    <n v="140"/>
    <n v="90"/>
    <n v="15"/>
    <x v="0"/>
    <n v="90"/>
    <x v="0"/>
    <x v="2"/>
    <x v="1"/>
    <x v="0"/>
    <x v="0"/>
    <x v="0"/>
  </r>
  <r>
    <n v="25"/>
    <n v="140"/>
    <n v="100"/>
    <n v="7.01"/>
    <x v="0"/>
    <n v="80"/>
    <x v="0"/>
    <x v="0"/>
    <x v="3"/>
    <x v="2"/>
    <x v="1"/>
    <x v="0"/>
  </r>
  <r>
    <n v="30"/>
    <n v="120"/>
    <n v="80"/>
    <n v="6.9"/>
    <x v="3"/>
    <n v="76"/>
    <x v="2"/>
    <x v="0"/>
    <x v="0"/>
    <x v="2"/>
    <x v="1"/>
    <x v="1"/>
  </r>
  <r>
    <n v="10"/>
    <n v="70"/>
    <n v="50"/>
    <n v="6.9"/>
    <x v="0"/>
    <n v="70"/>
    <x v="1"/>
    <x v="3"/>
    <x v="4"/>
    <x v="2"/>
    <x v="1"/>
    <x v="0"/>
  </r>
  <r>
    <n v="40"/>
    <n v="140"/>
    <n v="100"/>
    <n v="18"/>
    <x v="0"/>
    <n v="90"/>
    <x v="0"/>
    <x v="1"/>
    <x v="3"/>
    <x v="0"/>
    <x v="0"/>
    <x v="0"/>
  </r>
  <r>
    <n v="50"/>
    <n v="140"/>
    <n v="80"/>
    <n v="6.7"/>
    <x v="0"/>
    <n v="70"/>
    <x v="2"/>
    <x v="2"/>
    <x v="1"/>
    <x v="2"/>
    <x v="1"/>
    <x v="0"/>
  </r>
  <r>
    <n v="21"/>
    <n v="90"/>
    <n v="65"/>
    <n v="7.5"/>
    <x v="0"/>
    <n v="76"/>
    <x v="1"/>
    <x v="0"/>
    <x v="2"/>
    <x v="2"/>
    <x v="1"/>
    <x v="0"/>
  </r>
  <r>
    <n v="18"/>
    <n v="90"/>
    <n v="60"/>
    <n v="7.5"/>
    <x v="0"/>
    <n v="70"/>
    <x v="1"/>
    <x v="3"/>
    <x v="2"/>
    <x v="2"/>
    <x v="1"/>
    <x v="0"/>
  </r>
  <r>
    <n v="21"/>
    <n v="120"/>
    <n v="80"/>
    <n v="7.5"/>
    <x v="0"/>
    <n v="76"/>
    <x v="1"/>
    <x v="0"/>
    <x v="0"/>
    <x v="2"/>
    <x v="1"/>
    <x v="0"/>
  </r>
  <r>
    <n v="16"/>
    <n v="100"/>
    <n v="70"/>
    <n v="7.2"/>
    <x v="0"/>
    <n v="80"/>
    <x v="1"/>
    <x v="3"/>
    <x v="2"/>
    <x v="2"/>
    <x v="1"/>
    <x v="0"/>
  </r>
  <r>
    <n v="19"/>
    <n v="120"/>
    <n v="75"/>
    <n v="7.2"/>
    <x v="0"/>
    <n v="66"/>
    <x v="1"/>
    <x v="3"/>
    <x v="0"/>
    <x v="2"/>
    <x v="2"/>
    <x v="0"/>
  </r>
  <r>
    <n v="22"/>
    <n v="100"/>
    <n v="65"/>
    <n v="7.2"/>
    <x v="0"/>
    <n v="70"/>
    <x v="1"/>
    <x v="0"/>
    <x v="2"/>
    <x v="2"/>
    <x v="1"/>
    <x v="0"/>
  </r>
  <r>
    <n v="49"/>
    <n v="120"/>
    <n v="90"/>
    <n v="7.2"/>
    <x v="0"/>
    <n v="77"/>
    <x v="1"/>
    <x v="2"/>
    <x v="1"/>
    <x v="2"/>
    <x v="1"/>
    <x v="0"/>
  </r>
  <r>
    <n v="28"/>
    <n v="90"/>
    <n v="60"/>
    <n v="7.2"/>
    <x v="0"/>
    <n v="82"/>
    <x v="1"/>
    <x v="0"/>
    <x v="2"/>
    <x v="2"/>
    <x v="1"/>
    <x v="0"/>
  </r>
  <r>
    <n v="20"/>
    <n v="100"/>
    <n v="90"/>
    <n v="7.1"/>
    <x v="0"/>
    <n v="88"/>
    <x v="1"/>
    <x v="3"/>
    <x v="1"/>
    <x v="2"/>
    <x v="0"/>
    <x v="0"/>
  </r>
  <r>
    <n v="23"/>
    <n v="100"/>
    <n v="85"/>
    <n v="7.1"/>
    <x v="0"/>
    <n v="66"/>
    <x v="1"/>
    <x v="0"/>
    <x v="0"/>
    <x v="2"/>
    <x v="2"/>
    <x v="0"/>
  </r>
  <r>
    <n v="22"/>
    <n v="120"/>
    <n v="90"/>
    <n v="7.1"/>
    <x v="0"/>
    <n v="82"/>
    <x v="1"/>
    <x v="0"/>
    <x v="1"/>
    <x v="2"/>
    <x v="1"/>
    <x v="0"/>
  </r>
  <r>
    <n v="21"/>
    <n v="120"/>
    <n v="80"/>
    <n v="7.1"/>
    <x v="0"/>
    <n v="77"/>
    <x v="1"/>
    <x v="0"/>
    <x v="0"/>
    <x v="2"/>
    <x v="1"/>
    <x v="0"/>
  </r>
  <r>
    <n v="21"/>
    <n v="75"/>
    <n v="50"/>
    <n v="6.1"/>
    <x v="0"/>
    <n v="70"/>
    <x v="1"/>
    <x v="0"/>
    <x v="4"/>
    <x v="2"/>
    <x v="1"/>
    <x v="0"/>
  </r>
  <r>
    <n v="12"/>
    <n v="95"/>
    <n v="60"/>
    <n v="6.1"/>
    <x v="2"/>
    <n v="60"/>
    <x v="1"/>
    <x v="3"/>
    <x v="2"/>
    <x v="2"/>
    <x v="2"/>
    <x v="1"/>
  </r>
  <r>
    <n v="60"/>
    <n v="120"/>
    <n v="80"/>
    <n v="6.1"/>
    <x v="0"/>
    <n v="75"/>
    <x v="1"/>
    <x v="4"/>
    <x v="0"/>
    <x v="2"/>
    <x v="1"/>
    <x v="0"/>
  </r>
  <r>
    <n v="55"/>
    <n v="100"/>
    <n v="65"/>
    <n v="6.1"/>
    <x v="0"/>
    <n v="66"/>
    <x v="1"/>
    <x v="4"/>
    <x v="2"/>
    <x v="2"/>
    <x v="2"/>
    <x v="0"/>
  </r>
  <r>
    <n v="45"/>
    <n v="120"/>
    <n v="95"/>
    <n v="6.1"/>
    <x v="0"/>
    <n v="66"/>
    <x v="1"/>
    <x v="2"/>
    <x v="1"/>
    <x v="2"/>
    <x v="2"/>
    <x v="0"/>
  </r>
  <r>
    <n v="35"/>
    <n v="100"/>
    <n v="70"/>
    <n v="6.1"/>
    <x v="0"/>
    <n v="66"/>
    <x v="1"/>
    <x v="1"/>
    <x v="2"/>
    <x v="2"/>
    <x v="2"/>
    <x v="0"/>
  </r>
  <r>
    <n v="22"/>
    <n v="120"/>
    <n v="85"/>
    <n v="6.1"/>
    <x v="0"/>
    <n v="88"/>
    <x v="1"/>
    <x v="0"/>
    <x v="0"/>
    <x v="2"/>
    <x v="0"/>
    <x v="0"/>
  </r>
  <r>
    <n v="23"/>
    <n v="120"/>
    <n v="90"/>
    <n v="6.1"/>
    <x v="0"/>
    <n v="60"/>
    <x v="1"/>
    <x v="0"/>
    <x v="1"/>
    <x v="2"/>
    <x v="2"/>
    <x v="0"/>
  </r>
  <r>
    <n v="25"/>
    <n v="90"/>
    <n v="70"/>
    <n v="6.1"/>
    <x v="0"/>
    <n v="80"/>
    <x v="1"/>
    <x v="0"/>
    <x v="2"/>
    <x v="2"/>
    <x v="1"/>
    <x v="0"/>
  </r>
  <r>
    <n v="30"/>
    <n v="120"/>
    <n v="80"/>
    <n v="6.1"/>
    <x v="0"/>
    <n v="70"/>
    <x v="1"/>
    <x v="0"/>
    <x v="0"/>
    <x v="2"/>
    <x v="1"/>
    <x v="0"/>
  </r>
  <r>
    <n v="23"/>
    <n v="120"/>
    <n v="90"/>
    <n v="6.1"/>
    <x v="0"/>
    <n v="70"/>
    <x v="1"/>
    <x v="0"/>
    <x v="1"/>
    <x v="2"/>
    <x v="1"/>
    <x v="0"/>
  </r>
  <r>
    <n v="32"/>
    <n v="120"/>
    <n v="90"/>
    <n v="7.5"/>
    <x v="0"/>
    <n v="70"/>
    <x v="1"/>
    <x v="1"/>
    <x v="1"/>
    <x v="2"/>
    <x v="1"/>
    <x v="0"/>
  </r>
  <r>
    <n v="42"/>
    <n v="120"/>
    <n v="80"/>
    <n v="7.5"/>
    <x v="0"/>
    <n v="70"/>
    <x v="1"/>
    <x v="2"/>
    <x v="0"/>
    <x v="2"/>
    <x v="1"/>
    <x v="0"/>
  </r>
  <r>
    <n v="23"/>
    <n v="90"/>
    <n v="60"/>
    <n v="7.5"/>
    <x v="0"/>
    <n v="76"/>
    <x v="1"/>
    <x v="0"/>
    <x v="2"/>
    <x v="2"/>
    <x v="1"/>
    <x v="0"/>
  </r>
  <r>
    <n v="15"/>
    <n v="76"/>
    <n v="49"/>
    <n v="7.5"/>
    <x v="0"/>
    <n v="77"/>
    <x v="1"/>
    <x v="3"/>
    <x v="4"/>
    <x v="2"/>
    <x v="1"/>
    <x v="0"/>
  </r>
  <r>
    <n v="15"/>
    <n v="120"/>
    <n v="80"/>
    <n v="7"/>
    <x v="0"/>
    <n v="70"/>
    <x v="1"/>
    <x v="3"/>
    <x v="0"/>
    <x v="2"/>
    <x v="1"/>
    <x v="0"/>
  </r>
  <r>
    <n v="25"/>
    <n v="120"/>
    <n v="80"/>
    <n v="7"/>
    <x v="0"/>
    <n v="66"/>
    <x v="1"/>
    <x v="0"/>
    <x v="0"/>
    <x v="2"/>
    <x v="2"/>
    <x v="0"/>
  </r>
  <r>
    <n v="22"/>
    <n v="100"/>
    <n v="65"/>
    <n v="7"/>
    <x v="0"/>
    <n v="80"/>
    <x v="1"/>
    <x v="0"/>
    <x v="2"/>
    <x v="2"/>
    <x v="1"/>
    <x v="0"/>
  </r>
  <r>
    <n v="35"/>
    <n v="100"/>
    <n v="70"/>
    <n v="7"/>
    <x v="0"/>
    <n v="60"/>
    <x v="1"/>
    <x v="1"/>
    <x v="2"/>
    <x v="2"/>
    <x v="2"/>
    <x v="0"/>
  </r>
  <r>
    <n v="19"/>
    <n v="120"/>
    <n v="85"/>
    <n v="7"/>
    <x v="0"/>
    <n v="60"/>
    <x v="1"/>
    <x v="3"/>
    <x v="0"/>
    <x v="2"/>
    <x v="2"/>
    <x v="0"/>
  </r>
  <r>
    <n v="60"/>
    <n v="90"/>
    <n v="65"/>
    <n v="7"/>
    <x v="0"/>
    <n v="77"/>
    <x v="1"/>
    <x v="4"/>
    <x v="2"/>
    <x v="2"/>
    <x v="1"/>
    <x v="0"/>
  </r>
  <r>
    <n v="23"/>
    <n v="120"/>
    <n v="90"/>
    <n v="6.7"/>
    <x v="0"/>
    <n v="70"/>
    <x v="1"/>
    <x v="0"/>
    <x v="1"/>
    <x v="2"/>
    <x v="1"/>
    <x v="0"/>
  </r>
  <r>
    <n v="32"/>
    <n v="120"/>
    <n v="90"/>
    <n v="6.4"/>
    <x v="0"/>
    <n v="70"/>
    <x v="1"/>
    <x v="1"/>
    <x v="1"/>
    <x v="2"/>
    <x v="1"/>
    <x v="0"/>
  </r>
  <r>
    <n v="42"/>
    <n v="120"/>
    <n v="80"/>
    <n v="6.4"/>
    <x v="0"/>
    <n v="70"/>
    <x v="1"/>
    <x v="2"/>
    <x v="0"/>
    <x v="2"/>
    <x v="1"/>
    <x v="0"/>
  </r>
  <r>
    <n v="23"/>
    <n v="90"/>
    <n v="60"/>
    <n v="6.4"/>
    <x v="0"/>
    <n v="76"/>
    <x v="1"/>
    <x v="0"/>
    <x v="2"/>
    <x v="2"/>
    <x v="1"/>
    <x v="0"/>
  </r>
  <r>
    <n v="15"/>
    <n v="76"/>
    <n v="49"/>
    <n v="6.4"/>
    <x v="0"/>
    <n v="77"/>
    <x v="1"/>
    <x v="3"/>
    <x v="4"/>
    <x v="2"/>
    <x v="1"/>
    <x v="0"/>
  </r>
  <r>
    <n v="15"/>
    <n v="120"/>
    <n v="80"/>
    <n v="7.2"/>
    <x v="0"/>
    <n v="70"/>
    <x v="1"/>
    <x v="3"/>
    <x v="0"/>
    <x v="2"/>
    <x v="1"/>
    <x v="0"/>
  </r>
  <r>
    <n v="15"/>
    <n v="80"/>
    <n v="60"/>
    <n v="7"/>
    <x v="0"/>
    <n v="80"/>
    <x v="1"/>
    <x v="3"/>
    <x v="2"/>
    <x v="2"/>
    <x v="1"/>
    <x v="0"/>
  </r>
  <r>
    <n v="12"/>
    <n v="95"/>
    <n v="60"/>
    <n v="7.2"/>
    <x v="0"/>
    <n v="77"/>
    <x v="1"/>
    <x v="3"/>
    <x v="2"/>
    <x v="2"/>
    <x v="1"/>
    <x v="0"/>
  </r>
  <r>
    <n v="29"/>
    <n v="90"/>
    <n v="70"/>
    <n v="6.7"/>
    <x v="0"/>
    <n v="80"/>
    <x v="2"/>
    <x v="0"/>
    <x v="2"/>
    <x v="2"/>
    <x v="1"/>
    <x v="0"/>
  </r>
  <r>
    <n v="31"/>
    <n v="120"/>
    <n v="60"/>
    <n v="6.1"/>
    <x v="0"/>
    <n v="76"/>
    <x v="2"/>
    <x v="1"/>
    <x v="0"/>
    <x v="2"/>
    <x v="1"/>
    <x v="0"/>
  </r>
  <r>
    <n v="29"/>
    <n v="130"/>
    <n v="70"/>
    <n v="6.7"/>
    <x v="0"/>
    <n v="78"/>
    <x v="2"/>
    <x v="0"/>
    <x v="0"/>
    <x v="2"/>
    <x v="1"/>
    <x v="0"/>
  </r>
  <r>
    <n v="17"/>
    <n v="85"/>
    <n v="60"/>
    <n v="9"/>
    <x v="2"/>
    <n v="86"/>
    <x v="2"/>
    <x v="3"/>
    <x v="2"/>
    <x v="1"/>
    <x v="0"/>
    <x v="1"/>
  </r>
  <r>
    <n v="19"/>
    <n v="120"/>
    <n v="80"/>
    <n v="7"/>
    <x v="0"/>
    <n v="70"/>
    <x v="2"/>
    <x v="3"/>
    <x v="0"/>
    <x v="2"/>
    <x v="1"/>
    <x v="0"/>
  </r>
  <r>
    <n v="20"/>
    <n v="110"/>
    <n v="60"/>
    <n v="7"/>
    <x v="1"/>
    <n v="70"/>
    <x v="2"/>
    <x v="3"/>
    <x v="2"/>
    <x v="2"/>
    <x v="1"/>
    <x v="1"/>
  </r>
  <r>
    <n v="32"/>
    <n v="120"/>
    <n v="65"/>
    <n v="6"/>
    <x v="3"/>
    <n v="76"/>
    <x v="2"/>
    <x v="1"/>
    <x v="0"/>
    <x v="2"/>
    <x v="1"/>
    <x v="1"/>
  </r>
  <r>
    <n v="26"/>
    <n v="85"/>
    <n v="60"/>
    <n v="6"/>
    <x v="3"/>
    <n v="86"/>
    <x v="2"/>
    <x v="0"/>
    <x v="2"/>
    <x v="2"/>
    <x v="0"/>
    <x v="1"/>
  </r>
  <r>
    <n v="29"/>
    <n v="130"/>
    <n v="70"/>
    <n v="7.7"/>
    <x v="0"/>
    <n v="78"/>
    <x v="2"/>
    <x v="0"/>
    <x v="0"/>
    <x v="2"/>
    <x v="1"/>
    <x v="0"/>
  </r>
  <r>
    <n v="19"/>
    <n v="120"/>
    <n v="80"/>
    <n v="7"/>
    <x v="0"/>
    <n v="70"/>
    <x v="2"/>
    <x v="3"/>
    <x v="0"/>
    <x v="2"/>
    <x v="1"/>
    <x v="0"/>
  </r>
  <r>
    <n v="54"/>
    <n v="130"/>
    <n v="70"/>
    <n v="12"/>
    <x v="0"/>
    <n v="67"/>
    <x v="2"/>
    <x v="4"/>
    <x v="0"/>
    <x v="0"/>
    <x v="2"/>
    <x v="0"/>
  </r>
  <r>
    <n v="44"/>
    <n v="120"/>
    <n v="90"/>
    <n v="16"/>
    <x v="0"/>
    <n v="80"/>
    <x v="2"/>
    <x v="2"/>
    <x v="1"/>
    <x v="0"/>
    <x v="1"/>
    <x v="0"/>
  </r>
  <r>
    <n v="23"/>
    <n v="130"/>
    <n v="70"/>
    <n v="6.9"/>
    <x v="0"/>
    <n v="70"/>
    <x v="2"/>
    <x v="0"/>
    <x v="0"/>
    <x v="2"/>
    <x v="1"/>
    <x v="0"/>
  </r>
  <r>
    <n v="22"/>
    <n v="85"/>
    <n v="60"/>
    <n v="6.9"/>
    <x v="0"/>
    <n v="76"/>
    <x v="2"/>
    <x v="0"/>
    <x v="2"/>
    <x v="2"/>
    <x v="1"/>
    <x v="0"/>
  </r>
  <r>
    <n v="55"/>
    <n v="120"/>
    <n v="90"/>
    <n v="12"/>
    <x v="0"/>
    <n v="70"/>
    <x v="2"/>
    <x v="4"/>
    <x v="1"/>
    <x v="0"/>
    <x v="1"/>
    <x v="0"/>
  </r>
  <r>
    <n v="35"/>
    <n v="120"/>
    <n v="80"/>
    <n v="6.9"/>
    <x v="0"/>
    <n v="78"/>
    <x v="2"/>
    <x v="1"/>
    <x v="0"/>
    <x v="2"/>
    <x v="1"/>
    <x v="0"/>
  </r>
  <r>
    <n v="21"/>
    <n v="90"/>
    <n v="60"/>
    <n v="6.9"/>
    <x v="0"/>
    <n v="86"/>
    <x v="2"/>
    <x v="0"/>
    <x v="2"/>
    <x v="2"/>
    <x v="0"/>
    <x v="0"/>
  </r>
  <r>
    <n v="16"/>
    <n v="90"/>
    <n v="65"/>
    <n v="6.9"/>
    <x v="0"/>
    <n v="76"/>
    <x v="2"/>
    <x v="3"/>
    <x v="2"/>
    <x v="2"/>
    <x v="1"/>
    <x v="0"/>
  </r>
  <r>
    <n v="33"/>
    <n v="115"/>
    <n v="65"/>
    <n v="7"/>
    <x v="0"/>
    <n v="70"/>
    <x v="2"/>
    <x v="1"/>
    <x v="2"/>
    <x v="2"/>
    <x v="1"/>
    <x v="0"/>
  </r>
  <r>
    <n v="12"/>
    <n v="95"/>
    <n v="60"/>
    <n v="6.9"/>
    <x v="0"/>
    <n v="65"/>
    <x v="2"/>
    <x v="3"/>
    <x v="2"/>
    <x v="2"/>
    <x v="2"/>
    <x v="0"/>
  </r>
  <r>
    <n v="28"/>
    <n v="120"/>
    <n v="90"/>
    <n v="6.9"/>
    <x v="0"/>
    <n v="70"/>
    <x v="2"/>
    <x v="0"/>
    <x v="1"/>
    <x v="2"/>
    <x v="1"/>
    <x v="0"/>
  </r>
  <r>
    <n v="21"/>
    <n v="90"/>
    <n v="65"/>
    <n v="6.9"/>
    <x v="0"/>
    <n v="76"/>
    <x v="2"/>
    <x v="0"/>
    <x v="2"/>
    <x v="2"/>
    <x v="1"/>
    <x v="0"/>
  </r>
  <r>
    <n v="18"/>
    <n v="90"/>
    <n v="60"/>
    <n v="6.9"/>
    <x v="0"/>
    <n v="70"/>
    <x v="2"/>
    <x v="3"/>
    <x v="2"/>
    <x v="2"/>
    <x v="1"/>
    <x v="0"/>
  </r>
  <r>
    <n v="21"/>
    <n v="120"/>
    <n v="80"/>
    <n v="6.9"/>
    <x v="0"/>
    <n v="76"/>
    <x v="2"/>
    <x v="0"/>
    <x v="0"/>
    <x v="2"/>
    <x v="1"/>
    <x v="0"/>
  </r>
  <r>
    <n v="16"/>
    <n v="100"/>
    <n v="70"/>
    <n v="6.9"/>
    <x v="0"/>
    <n v="80"/>
    <x v="2"/>
    <x v="3"/>
    <x v="2"/>
    <x v="2"/>
    <x v="1"/>
    <x v="0"/>
  </r>
  <r>
    <n v="19"/>
    <n v="120"/>
    <n v="75"/>
    <n v="6.9"/>
    <x v="0"/>
    <n v="66"/>
    <x v="2"/>
    <x v="3"/>
    <x v="0"/>
    <x v="2"/>
    <x v="2"/>
    <x v="0"/>
  </r>
  <r>
    <n v="23"/>
    <n v="100"/>
    <n v="85"/>
    <n v="6.9"/>
    <x v="0"/>
    <n v="66"/>
    <x v="2"/>
    <x v="0"/>
    <x v="0"/>
    <x v="2"/>
    <x v="2"/>
    <x v="0"/>
  </r>
  <r>
    <n v="22"/>
    <n v="120"/>
    <n v="90"/>
    <n v="7.8"/>
    <x v="0"/>
    <n v="82"/>
    <x v="2"/>
    <x v="0"/>
    <x v="1"/>
    <x v="2"/>
    <x v="1"/>
    <x v="0"/>
  </r>
  <r>
    <n v="60"/>
    <n v="120"/>
    <n v="85"/>
    <n v="15"/>
    <x v="0"/>
    <n v="60"/>
    <x v="2"/>
    <x v="4"/>
    <x v="0"/>
    <x v="0"/>
    <x v="2"/>
    <x v="0"/>
  </r>
  <r>
    <n v="13"/>
    <n v="90"/>
    <n v="65"/>
    <n v="7.8"/>
    <x v="3"/>
    <n v="80"/>
    <x v="2"/>
    <x v="3"/>
    <x v="2"/>
    <x v="2"/>
    <x v="1"/>
    <x v="1"/>
  </r>
  <r>
    <n v="23"/>
    <n v="120"/>
    <n v="90"/>
    <n v="7.8"/>
    <x v="0"/>
    <n v="60"/>
    <x v="2"/>
    <x v="0"/>
    <x v="1"/>
    <x v="2"/>
    <x v="2"/>
    <x v="0"/>
  </r>
  <r>
    <n v="28"/>
    <n v="115"/>
    <n v="60"/>
    <n v="7.8"/>
    <x v="3"/>
    <n v="86"/>
    <x v="2"/>
    <x v="0"/>
    <x v="2"/>
    <x v="2"/>
    <x v="0"/>
    <x v="1"/>
  </r>
  <r>
    <n v="50"/>
    <n v="120"/>
    <n v="80"/>
    <n v="7.8"/>
    <x v="0"/>
    <n v="70"/>
    <x v="2"/>
    <x v="2"/>
    <x v="0"/>
    <x v="2"/>
    <x v="1"/>
    <x v="0"/>
  </r>
  <r>
    <n v="29"/>
    <n v="130"/>
    <n v="70"/>
    <n v="7.8"/>
    <x v="0"/>
    <n v="78"/>
    <x v="2"/>
    <x v="0"/>
    <x v="0"/>
    <x v="2"/>
    <x v="1"/>
    <x v="0"/>
  </r>
  <r>
    <n v="19"/>
    <n v="120"/>
    <n v="80"/>
    <n v="7"/>
    <x v="0"/>
    <n v="70"/>
    <x v="2"/>
    <x v="3"/>
    <x v="0"/>
    <x v="2"/>
    <x v="1"/>
    <x v="0"/>
  </r>
  <r>
    <n v="19"/>
    <n v="120"/>
    <n v="85"/>
    <n v="7.8"/>
    <x v="0"/>
    <n v="60"/>
    <x v="2"/>
    <x v="3"/>
    <x v="0"/>
    <x v="2"/>
    <x v="2"/>
    <x v="0"/>
  </r>
  <r>
    <n v="60"/>
    <n v="90"/>
    <n v="65"/>
    <n v="6.8"/>
    <x v="0"/>
    <n v="77"/>
    <x v="2"/>
    <x v="4"/>
    <x v="2"/>
    <x v="2"/>
    <x v="1"/>
    <x v="0"/>
  </r>
  <r>
    <n v="55"/>
    <n v="120"/>
    <n v="90"/>
    <n v="6.8"/>
    <x v="0"/>
    <n v="66"/>
    <x v="2"/>
    <x v="4"/>
    <x v="1"/>
    <x v="2"/>
    <x v="2"/>
    <x v="0"/>
  </r>
  <r>
    <n v="25"/>
    <n v="120"/>
    <n v="80"/>
    <n v="6.8"/>
    <x v="0"/>
    <n v="66"/>
    <x v="2"/>
    <x v="0"/>
    <x v="0"/>
    <x v="2"/>
    <x v="2"/>
    <x v="0"/>
  </r>
  <r>
    <n v="48"/>
    <n v="140"/>
    <n v="90"/>
    <n v="15"/>
    <x v="0"/>
    <n v="90"/>
    <x v="0"/>
    <x v="2"/>
    <x v="1"/>
    <x v="0"/>
    <x v="0"/>
    <x v="0"/>
  </r>
  <r>
    <n v="25"/>
    <n v="140"/>
    <n v="100"/>
    <n v="6.8"/>
    <x v="0"/>
    <n v="80"/>
    <x v="0"/>
    <x v="0"/>
    <x v="3"/>
    <x v="2"/>
    <x v="1"/>
    <x v="0"/>
  </r>
  <r>
    <n v="23"/>
    <n v="140"/>
    <n v="90"/>
    <n v="6.8"/>
    <x v="0"/>
    <n v="70"/>
    <x v="0"/>
    <x v="0"/>
    <x v="1"/>
    <x v="2"/>
    <x v="1"/>
    <x v="0"/>
  </r>
  <r>
    <n v="34"/>
    <n v="85"/>
    <n v="60"/>
    <n v="11"/>
    <x v="2"/>
    <n v="86"/>
    <x v="0"/>
    <x v="1"/>
    <x v="2"/>
    <x v="1"/>
    <x v="0"/>
    <x v="1"/>
  </r>
  <r>
    <n v="50"/>
    <n v="140"/>
    <n v="90"/>
    <n v="15"/>
    <x v="0"/>
    <n v="90"/>
    <x v="0"/>
    <x v="2"/>
    <x v="1"/>
    <x v="0"/>
    <x v="0"/>
    <x v="0"/>
  </r>
  <r>
    <n v="25"/>
    <n v="140"/>
    <n v="100"/>
    <n v="6.8"/>
    <x v="0"/>
    <n v="80"/>
    <x v="0"/>
    <x v="0"/>
    <x v="3"/>
    <x v="2"/>
    <x v="1"/>
    <x v="0"/>
  </r>
  <r>
    <n v="42"/>
    <n v="140"/>
    <n v="100"/>
    <n v="18"/>
    <x v="0"/>
    <n v="90"/>
    <x v="0"/>
    <x v="2"/>
    <x v="3"/>
    <x v="0"/>
    <x v="0"/>
    <x v="0"/>
  </r>
  <r>
    <n v="32"/>
    <n v="140"/>
    <n v="100"/>
    <n v="7.9"/>
    <x v="0"/>
    <n v="78"/>
    <x v="0"/>
    <x v="1"/>
    <x v="3"/>
    <x v="2"/>
    <x v="1"/>
    <x v="0"/>
  </r>
  <r>
    <n v="50"/>
    <n v="140"/>
    <n v="95"/>
    <n v="17"/>
    <x v="0"/>
    <n v="60"/>
    <x v="0"/>
    <x v="2"/>
    <x v="1"/>
    <x v="0"/>
    <x v="2"/>
    <x v="0"/>
  </r>
  <r>
    <n v="38"/>
    <n v="135"/>
    <n v="60"/>
    <n v="7.9"/>
    <x v="3"/>
    <n v="86"/>
    <x v="0"/>
    <x v="1"/>
    <x v="0"/>
    <x v="2"/>
    <x v="0"/>
    <x v="1"/>
  </r>
  <r>
    <n v="39"/>
    <n v="90"/>
    <n v="70"/>
    <n v="9"/>
    <x v="0"/>
    <n v="80"/>
    <x v="0"/>
    <x v="1"/>
    <x v="2"/>
    <x v="1"/>
    <x v="1"/>
    <x v="0"/>
  </r>
  <r>
    <n v="30"/>
    <n v="140"/>
    <n v="100"/>
    <n v="15"/>
    <x v="0"/>
    <n v="70"/>
    <x v="0"/>
    <x v="0"/>
    <x v="3"/>
    <x v="0"/>
    <x v="1"/>
    <x v="0"/>
  </r>
  <r>
    <n v="63"/>
    <n v="140"/>
    <n v="90"/>
    <n v="15"/>
    <x v="0"/>
    <n v="90"/>
    <x v="0"/>
    <x v="4"/>
    <x v="1"/>
    <x v="0"/>
    <x v="0"/>
    <x v="0"/>
  </r>
  <r>
    <n v="25"/>
    <n v="140"/>
    <n v="100"/>
    <n v="7.9"/>
    <x v="0"/>
    <n v="80"/>
    <x v="0"/>
    <x v="0"/>
    <x v="3"/>
    <x v="2"/>
    <x v="1"/>
    <x v="0"/>
  </r>
  <r>
    <n v="30"/>
    <n v="120"/>
    <n v="80"/>
    <n v="7.9"/>
    <x v="3"/>
    <n v="76"/>
    <x v="0"/>
    <x v="0"/>
    <x v="0"/>
    <x v="2"/>
    <x v="1"/>
    <x v="1"/>
  </r>
  <r>
    <n v="55"/>
    <n v="140"/>
    <n v="100"/>
    <n v="18"/>
    <x v="0"/>
    <n v="90"/>
    <x v="0"/>
    <x v="4"/>
    <x v="3"/>
    <x v="0"/>
    <x v="0"/>
    <x v="0"/>
  </r>
  <r>
    <n v="32"/>
    <n v="140"/>
    <n v="100"/>
    <n v="7.9"/>
    <x v="0"/>
    <n v="78"/>
    <x v="0"/>
    <x v="1"/>
    <x v="3"/>
    <x v="2"/>
    <x v="1"/>
    <x v="0"/>
  </r>
  <r>
    <n v="30"/>
    <n v="140"/>
    <n v="100"/>
    <n v="15"/>
    <x v="0"/>
    <n v="70"/>
    <x v="0"/>
    <x v="0"/>
    <x v="3"/>
    <x v="0"/>
    <x v="1"/>
    <x v="0"/>
  </r>
  <r>
    <n v="48"/>
    <n v="120"/>
    <n v="80"/>
    <n v="11"/>
    <x v="0"/>
    <n v="88"/>
    <x v="0"/>
    <x v="2"/>
    <x v="0"/>
    <x v="1"/>
    <x v="0"/>
    <x v="0"/>
  </r>
  <r>
    <n v="49"/>
    <n v="140"/>
    <n v="90"/>
    <n v="15"/>
    <x v="0"/>
    <n v="90"/>
    <x v="0"/>
    <x v="2"/>
    <x v="1"/>
    <x v="0"/>
    <x v="0"/>
    <x v="0"/>
  </r>
  <r>
    <n v="25"/>
    <n v="140"/>
    <n v="100"/>
    <n v="7.5"/>
    <x v="0"/>
    <n v="80"/>
    <x v="0"/>
    <x v="0"/>
    <x v="3"/>
    <x v="2"/>
    <x v="1"/>
    <x v="0"/>
  </r>
  <r>
    <n v="40"/>
    <n v="160"/>
    <n v="100"/>
    <n v="19"/>
    <x v="0"/>
    <n v="77"/>
    <x v="0"/>
    <x v="1"/>
    <x v="3"/>
    <x v="0"/>
    <x v="1"/>
    <x v="0"/>
  </r>
  <r>
    <n v="32"/>
    <n v="140"/>
    <n v="90"/>
    <n v="18"/>
    <x v="0"/>
    <n v="88"/>
    <x v="0"/>
    <x v="1"/>
    <x v="1"/>
    <x v="0"/>
    <x v="0"/>
    <x v="0"/>
  </r>
  <r>
    <n v="35"/>
    <n v="140"/>
    <n v="100"/>
    <n v="7.5"/>
    <x v="0"/>
    <n v="66"/>
    <x v="0"/>
    <x v="1"/>
    <x v="3"/>
    <x v="2"/>
    <x v="2"/>
    <x v="0"/>
  </r>
  <r>
    <n v="54"/>
    <n v="140"/>
    <n v="100"/>
    <n v="15"/>
    <x v="0"/>
    <n v="66"/>
    <x v="0"/>
    <x v="4"/>
    <x v="3"/>
    <x v="0"/>
    <x v="2"/>
    <x v="0"/>
  </r>
  <r>
    <n v="55"/>
    <n v="140"/>
    <n v="95"/>
    <n v="19"/>
    <x v="0"/>
    <n v="77"/>
    <x v="0"/>
    <x v="4"/>
    <x v="1"/>
    <x v="0"/>
    <x v="1"/>
    <x v="0"/>
  </r>
  <r>
    <n v="29"/>
    <n v="120"/>
    <n v="70"/>
    <n v="9"/>
    <x v="0"/>
    <n v="80"/>
    <x v="0"/>
    <x v="0"/>
    <x v="0"/>
    <x v="1"/>
    <x v="1"/>
    <x v="0"/>
  </r>
  <r>
    <n v="48"/>
    <n v="120"/>
    <n v="80"/>
    <n v="11"/>
    <x v="0"/>
    <n v="88"/>
    <x v="0"/>
    <x v="2"/>
    <x v="0"/>
    <x v="1"/>
    <x v="0"/>
    <x v="0"/>
  </r>
  <r>
    <n v="40"/>
    <n v="160"/>
    <n v="100"/>
    <n v="19"/>
    <x v="0"/>
    <n v="77"/>
    <x v="0"/>
    <x v="1"/>
    <x v="3"/>
    <x v="0"/>
    <x v="1"/>
    <x v="0"/>
  </r>
  <r>
    <n v="32"/>
    <n v="140"/>
    <n v="90"/>
    <n v="18"/>
    <x v="0"/>
    <n v="88"/>
    <x v="0"/>
    <x v="1"/>
    <x v="1"/>
    <x v="0"/>
    <x v="0"/>
    <x v="0"/>
  </r>
  <r>
    <n v="35"/>
    <n v="140"/>
    <n v="100"/>
    <n v="7.5"/>
    <x v="0"/>
    <n v="66"/>
    <x v="0"/>
    <x v="1"/>
    <x v="3"/>
    <x v="2"/>
    <x v="2"/>
    <x v="0"/>
  </r>
  <r>
    <n v="54"/>
    <n v="140"/>
    <n v="100"/>
    <n v="15"/>
    <x v="0"/>
    <n v="66"/>
    <x v="0"/>
    <x v="4"/>
    <x v="3"/>
    <x v="0"/>
    <x v="2"/>
    <x v="0"/>
  </r>
  <r>
    <n v="40"/>
    <n v="120"/>
    <n v="95"/>
    <n v="11"/>
    <x v="0"/>
    <n v="80"/>
    <x v="0"/>
    <x v="1"/>
    <x v="1"/>
    <x v="1"/>
    <x v="1"/>
    <x v="0"/>
  </r>
  <r>
    <n v="22"/>
    <n v="90"/>
    <n v="60"/>
    <n v="7.5"/>
    <x v="2"/>
    <n v="60"/>
    <x v="0"/>
    <x v="0"/>
    <x v="2"/>
    <x v="2"/>
    <x v="2"/>
    <x v="1"/>
  </r>
  <r>
    <n v="40"/>
    <n v="120"/>
    <n v="85"/>
    <n v="15"/>
    <x v="0"/>
    <n v="60"/>
    <x v="0"/>
    <x v="1"/>
    <x v="0"/>
    <x v="0"/>
    <x v="2"/>
    <x v="0"/>
  </r>
  <r>
    <n v="55"/>
    <n v="140"/>
    <n v="95"/>
    <n v="19"/>
    <x v="0"/>
    <n v="77"/>
    <x v="0"/>
    <x v="4"/>
    <x v="1"/>
    <x v="0"/>
    <x v="1"/>
    <x v="0"/>
  </r>
  <r>
    <n v="50"/>
    <n v="130"/>
    <n v="100"/>
    <n v="16"/>
    <x v="0"/>
    <n v="75"/>
    <x v="0"/>
    <x v="2"/>
    <x v="3"/>
    <x v="0"/>
    <x v="1"/>
    <x v="0"/>
  </r>
  <r>
    <n v="18"/>
    <n v="120"/>
    <n v="80"/>
    <n v="6.9"/>
    <x v="2"/>
    <n v="76"/>
    <x v="2"/>
    <x v="3"/>
    <x v="0"/>
    <x v="2"/>
    <x v="1"/>
    <x v="1"/>
  </r>
  <r>
    <n v="32"/>
    <n v="140"/>
    <n v="100"/>
    <n v="6.9"/>
    <x v="0"/>
    <n v="78"/>
    <x v="0"/>
    <x v="1"/>
    <x v="3"/>
    <x v="2"/>
    <x v="1"/>
    <x v="0"/>
  </r>
  <r>
    <n v="17"/>
    <n v="90"/>
    <n v="60"/>
    <n v="6.9"/>
    <x v="3"/>
    <n v="76"/>
    <x v="2"/>
    <x v="3"/>
    <x v="2"/>
    <x v="2"/>
    <x v="1"/>
    <x v="1"/>
  </r>
  <r>
    <n v="17"/>
    <n v="90"/>
    <n v="63"/>
    <n v="6.9"/>
    <x v="3"/>
    <n v="70"/>
    <x v="2"/>
    <x v="3"/>
    <x v="2"/>
    <x v="2"/>
    <x v="1"/>
    <x v="1"/>
  </r>
  <r>
    <n v="25"/>
    <n v="120"/>
    <n v="90"/>
    <n v="6.7"/>
    <x v="3"/>
    <n v="80"/>
    <x v="2"/>
    <x v="0"/>
    <x v="1"/>
    <x v="2"/>
    <x v="1"/>
    <x v="1"/>
  </r>
  <r>
    <n v="17"/>
    <n v="120"/>
    <n v="80"/>
    <n v="6.7"/>
    <x v="2"/>
    <n v="76"/>
    <x v="2"/>
    <x v="3"/>
    <x v="0"/>
    <x v="2"/>
    <x v="1"/>
    <x v="1"/>
  </r>
  <r>
    <n v="14"/>
    <n v="90"/>
    <n v="65"/>
    <n v="7"/>
    <x v="3"/>
    <n v="70"/>
    <x v="0"/>
    <x v="3"/>
    <x v="2"/>
    <x v="2"/>
    <x v="1"/>
    <x v="1"/>
  </r>
  <r>
    <n v="15"/>
    <n v="80"/>
    <n v="60"/>
    <n v="6.7"/>
    <x v="0"/>
    <n v="80"/>
    <x v="1"/>
    <x v="3"/>
    <x v="2"/>
    <x v="2"/>
    <x v="1"/>
    <x v="0"/>
  </r>
  <r>
    <n v="15"/>
    <n v="100"/>
    <n v="65"/>
    <n v="6.7"/>
    <x v="0"/>
    <n v="76"/>
    <x v="1"/>
    <x v="3"/>
    <x v="2"/>
    <x v="2"/>
    <x v="1"/>
    <x v="0"/>
  </r>
  <r>
    <n v="12"/>
    <n v="95"/>
    <n v="60"/>
    <n v="6.7"/>
    <x v="0"/>
    <n v="77"/>
    <x v="1"/>
    <x v="3"/>
    <x v="2"/>
    <x v="2"/>
    <x v="1"/>
    <x v="0"/>
  </r>
  <r>
    <n v="37"/>
    <n v="120"/>
    <n v="90"/>
    <n v="11"/>
    <x v="0"/>
    <n v="88"/>
    <x v="0"/>
    <x v="1"/>
    <x v="1"/>
    <x v="1"/>
    <x v="0"/>
    <x v="0"/>
  </r>
  <r>
    <n v="18"/>
    <n v="100"/>
    <n v="70"/>
    <n v="6.7"/>
    <x v="0"/>
    <n v="76"/>
    <x v="1"/>
    <x v="3"/>
    <x v="2"/>
    <x v="2"/>
    <x v="1"/>
    <x v="0"/>
  </r>
  <r>
    <n v="21"/>
    <n v="100"/>
    <n v="85"/>
    <n v="6.7"/>
    <x v="0"/>
    <n v="70"/>
    <x v="1"/>
    <x v="0"/>
    <x v="0"/>
    <x v="2"/>
    <x v="1"/>
    <x v="0"/>
  </r>
  <r>
    <n v="17"/>
    <n v="110"/>
    <n v="75"/>
    <n v="12"/>
    <x v="3"/>
    <n v="76"/>
    <x v="0"/>
    <x v="3"/>
    <x v="2"/>
    <x v="0"/>
    <x v="1"/>
    <x v="1"/>
  </r>
  <r>
    <n v="25"/>
    <n v="120"/>
    <n v="90"/>
    <n v="7.5"/>
    <x v="0"/>
    <n v="80"/>
    <x v="1"/>
    <x v="0"/>
    <x v="1"/>
    <x v="2"/>
    <x v="1"/>
    <x v="0"/>
  </r>
  <r>
    <n v="23"/>
    <n v="85"/>
    <n v="65"/>
    <n v="7.5"/>
    <x v="0"/>
    <n v="70"/>
    <x v="1"/>
    <x v="0"/>
    <x v="2"/>
    <x v="2"/>
    <x v="1"/>
    <x v="0"/>
  </r>
  <r>
    <n v="12"/>
    <n v="95"/>
    <n v="60"/>
    <n v="7.5"/>
    <x v="0"/>
    <n v="65"/>
    <x v="1"/>
    <x v="3"/>
    <x v="2"/>
    <x v="2"/>
    <x v="2"/>
    <x v="0"/>
  </r>
  <r>
    <n v="28"/>
    <n v="120"/>
    <n v="90"/>
    <n v="7.5"/>
    <x v="0"/>
    <n v="70"/>
    <x v="1"/>
    <x v="0"/>
    <x v="1"/>
    <x v="2"/>
    <x v="1"/>
    <x v="0"/>
  </r>
  <r>
    <n v="40"/>
    <n v="120"/>
    <n v="90"/>
    <n v="12"/>
    <x v="0"/>
    <n v="80"/>
    <x v="0"/>
    <x v="1"/>
    <x v="1"/>
    <x v="0"/>
    <x v="1"/>
    <x v="0"/>
  </r>
  <r>
    <n v="55"/>
    <n v="129"/>
    <n v="85"/>
    <n v="7.5"/>
    <x v="0"/>
    <n v="88"/>
    <x v="1"/>
    <x v="4"/>
    <x v="0"/>
    <x v="2"/>
    <x v="0"/>
    <x v="0"/>
  </r>
  <r>
    <n v="25"/>
    <n v="100"/>
    <n v="90"/>
    <n v="7.5"/>
    <x v="0"/>
    <n v="76"/>
    <x v="1"/>
    <x v="0"/>
    <x v="1"/>
    <x v="2"/>
    <x v="1"/>
    <x v="0"/>
  </r>
  <r>
    <n v="35"/>
    <n v="120"/>
    <n v="80"/>
    <n v="7.5"/>
    <x v="0"/>
    <n v="80"/>
    <x v="1"/>
    <x v="1"/>
    <x v="0"/>
    <x v="2"/>
    <x v="1"/>
    <x v="0"/>
  </r>
  <r>
    <n v="21"/>
    <n v="90"/>
    <n v="65"/>
    <n v="7.5"/>
    <x v="0"/>
    <n v="76"/>
    <x v="1"/>
    <x v="0"/>
    <x v="2"/>
    <x v="2"/>
    <x v="1"/>
    <x v="0"/>
  </r>
  <r>
    <n v="18"/>
    <n v="90"/>
    <n v="60"/>
    <n v="7.5"/>
    <x v="0"/>
    <n v="70"/>
    <x v="1"/>
    <x v="3"/>
    <x v="2"/>
    <x v="2"/>
    <x v="1"/>
    <x v="0"/>
  </r>
  <r>
    <n v="21"/>
    <n v="120"/>
    <n v="80"/>
    <n v="7.5"/>
    <x v="0"/>
    <n v="76"/>
    <x v="1"/>
    <x v="0"/>
    <x v="0"/>
    <x v="2"/>
    <x v="1"/>
    <x v="0"/>
  </r>
  <r>
    <n v="16"/>
    <n v="100"/>
    <n v="70"/>
    <n v="7.2"/>
    <x v="0"/>
    <n v="80"/>
    <x v="1"/>
    <x v="3"/>
    <x v="2"/>
    <x v="2"/>
    <x v="1"/>
    <x v="0"/>
  </r>
  <r>
    <n v="19"/>
    <n v="120"/>
    <n v="75"/>
    <n v="7.2"/>
    <x v="0"/>
    <n v="66"/>
    <x v="1"/>
    <x v="3"/>
    <x v="0"/>
    <x v="2"/>
    <x v="2"/>
    <x v="0"/>
  </r>
  <r>
    <n v="40"/>
    <n v="160"/>
    <n v="100"/>
    <n v="19"/>
    <x v="0"/>
    <n v="77"/>
    <x v="0"/>
    <x v="1"/>
    <x v="3"/>
    <x v="0"/>
    <x v="1"/>
    <x v="0"/>
  </r>
  <r>
    <n v="32"/>
    <n v="140"/>
    <n v="90"/>
    <n v="18"/>
    <x v="0"/>
    <n v="88"/>
    <x v="0"/>
    <x v="1"/>
    <x v="1"/>
    <x v="0"/>
    <x v="0"/>
    <x v="0"/>
  </r>
  <r>
    <n v="22"/>
    <n v="100"/>
    <n v="65"/>
    <n v="7.2"/>
    <x v="0"/>
    <n v="70"/>
    <x v="1"/>
    <x v="0"/>
    <x v="2"/>
    <x v="2"/>
    <x v="1"/>
    <x v="0"/>
  </r>
  <r>
    <n v="49"/>
    <n v="120"/>
    <n v="90"/>
    <n v="7.2"/>
    <x v="0"/>
    <n v="77"/>
    <x v="1"/>
    <x v="2"/>
    <x v="1"/>
    <x v="2"/>
    <x v="1"/>
    <x v="0"/>
  </r>
  <r>
    <n v="28"/>
    <n v="90"/>
    <n v="60"/>
    <n v="7.2"/>
    <x v="0"/>
    <n v="82"/>
    <x v="1"/>
    <x v="0"/>
    <x v="2"/>
    <x v="2"/>
    <x v="1"/>
    <x v="0"/>
  </r>
  <r>
    <n v="12"/>
    <n v="90"/>
    <n v="60"/>
    <n v="7.9"/>
    <x v="2"/>
    <n v="66"/>
    <x v="0"/>
    <x v="3"/>
    <x v="2"/>
    <x v="2"/>
    <x v="2"/>
    <x v="1"/>
  </r>
  <r>
    <n v="20"/>
    <n v="100"/>
    <n v="90"/>
    <n v="7.1"/>
    <x v="0"/>
    <n v="88"/>
    <x v="1"/>
    <x v="3"/>
    <x v="1"/>
    <x v="2"/>
    <x v="0"/>
    <x v="0"/>
  </r>
  <r>
    <n v="23"/>
    <n v="100"/>
    <n v="85"/>
    <n v="7.1"/>
    <x v="0"/>
    <n v="66"/>
    <x v="1"/>
    <x v="0"/>
    <x v="0"/>
    <x v="2"/>
    <x v="2"/>
    <x v="0"/>
  </r>
  <r>
    <n v="22"/>
    <n v="120"/>
    <n v="90"/>
    <n v="7.1"/>
    <x v="0"/>
    <n v="82"/>
    <x v="1"/>
    <x v="0"/>
    <x v="1"/>
    <x v="2"/>
    <x v="1"/>
    <x v="0"/>
  </r>
  <r>
    <n v="21"/>
    <n v="120"/>
    <n v="80"/>
    <n v="7.1"/>
    <x v="0"/>
    <n v="77"/>
    <x v="1"/>
    <x v="0"/>
    <x v="0"/>
    <x v="2"/>
    <x v="1"/>
    <x v="0"/>
  </r>
  <r>
    <n v="35"/>
    <n v="140"/>
    <n v="100"/>
    <n v="8"/>
    <x v="0"/>
    <n v="66"/>
    <x v="0"/>
    <x v="1"/>
    <x v="3"/>
    <x v="1"/>
    <x v="2"/>
    <x v="0"/>
  </r>
  <r>
    <n v="54"/>
    <n v="140"/>
    <n v="100"/>
    <n v="15"/>
    <x v="0"/>
    <n v="66"/>
    <x v="0"/>
    <x v="4"/>
    <x v="3"/>
    <x v="0"/>
    <x v="2"/>
    <x v="0"/>
  </r>
  <r>
    <n v="40"/>
    <n v="120"/>
    <n v="95"/>
    <n v="11"/>
    <x v="0"/>
    <n v="80"/>
    <x v="0"/>
    <x v="1"/>
    <x v="1"/>
    <x v="1"/>
    <x v="1"/>
    <x v="0"/>
  </r>
  <r>
    <n v="21"/>
    <n v="75"/>
    <n v="50"/>
    <n v="6.1"/>
    <x v="0"/>
    <n v="70"/>
    <x v="1"/>
    <x v="0"/>
    <x v="4"/>
    <x v="2"/>
    <x v="1"/>
    <x v="0"/>
  </r>
  <r>
    <n v="12"/>
    <n v="95"/>
    <n v="60"/>
    <n v="6.1"/>
    <x v="2"/>
    <n v="60"/>
    <x v="1"/>
    <x v="3"/>
    <x v="2"/>
    <x v="2"/>
    <x v="2"/>
    <x v="1"/>
  </r>
  <r>
    <n v="60"/>
    <n v="120"/>
    <n v="85"/>
    <n v="15"/>
    <x v="0"/>
    <n v="60"/>
    <x v="0"/>
    <x v="4"/>
    <x v="0"/>
    <x v="0"/>
    <x v="2"/>
    <x v="0"/>
  </r>
  <r>
    <n v="55"/>
    <n v="140"/>
    <n v="95"/>
    <n v="19"/>
    <x v="0"/>
    <n v="77"/>
    <x v="0"/>
    <x v="4"/>
    <x v="1"/>
    <x v="0"/>
    <x v="1"/>
    <x v="0"/>
  </r>
  <r>
    <n v="50"/>
    <n v="130"/>
    <n v="100"/>
    <n v="16"/>
    <x v="0"/>
    <n v="75"/>
    <x v="0"/>
    <x v="2"/>
    <x v="3"/>
    <x v="0"/>
    <x v="1"/>
    <x v="0"/>
  </r>
  <r>
    <n v="60"/>
    <n v="120"/>
    <n v="80"/>
    <n v="6.1"/>
    <x v="0"/>
    <n v="75"/>
    <x v="1"/>
    <x v="4"/>
    <x v="0"/>
    <x v="2"/>
    <x v="1"/>
    <x v="0"/>
  </r>
  <r>
    <n v="55"/>
    <n v="100"/>
    <n v="65"/>
    <n v="6.1"/>
    <x v="0"/>
    <n v="66"/>
    <x v="1"/>
    <x v="4"/>
    <x v="2"/>
    <x v="2"/>
    <x v="2"/>
    <x v="0"/>
  </r>
  <r>
    <n v="45"/>
    <n v="120"/>
    <n v="95"/>
    <n v="6.1"/>
    <x v="0"/>
    <n v="66"/>
    <x v="1"/>
    <x v="2"/>
    <x v="1"/>
    <x v="2"/>
    <x v="2"/>
    <x v="0"/>
  </r>
  <r>
    <n v="35"/>
    <n v="100"/>
    <n v="70"/>
    <n v="6.1"/>
    <x v="0"/>
    <n v="66"/>
    <x v="1"/>
    <x v="1"/>
    <x v="2"/>
    <x v="2"/>
    <x v="2"/>
    <x v="0"/>
  </r>
  <r>
    <n v="22"/>
    <n v="120"/>
    <n v="85"/>
    <n v="6.1"/>
    <x v="0"/>
    <n v="88"/>
    <x v="1"/>
    <x v="0"/>
    <x v="0"/>
    <x v="2"/>
    <x v="0"/>
    <x v="0"/>
  </r>
  <r>
    <n v="13"/>
    <n v="90"/>
    <n v="65"/>
    <n v="7.9"/>
    <x v="3"/>
    <n v="80"/>
    <x v="2"/>
    <x v="3"/>
    <x v="2"/>
    <x v="2"/>
    <x v="1"/>
    <x v="1"/>
  </r>
  <r>
    <n v="23"/>
    <n v="120"/>
    <n v="90"/>
    <n v="6.1"/>
    <x v="0"/>
    <n v="60"/>
    <x v="1"/>
    <x v="0"/>
    <x v="1"/>
    <x v="2"/>
    <x v="2"/>
    <x v="0"/>
  </r>
  <r>
    <n v="17"/>
    <n v="90"/>
    <n v="65"/>
    <n v="6.1"/>
    <x v="4"/>
    <n v="67"/>
    <x v="0"/>
    <x v="3"/>
    <x v="2"/>
    <x v="2"/>
    <x v="2"/>
    <x v="1"/>
  </r>
  <r>
    <n v="28"/>
    <n v="83"/>
    <n v="60"/>
    <n v="8"/>
    <x v="3"/>
    <n v="86"/>
    <x v="0"/>
    <x v="0"/>
    <x v="2"/>
    <x v="1"/>
    <x v="0"/>
    <x v="1"/>
  </r>
  <r>
    <n v="50"/>
    <n v="120"/>
    <n v="80"/>
    <n v="15"/>
    <x v="0"/>
    <n v="70"/>
    <x v="0"/>
    <x v="2"/>
    <x v="0"/>
    <x v="0"/>
    <x v="1"/>
    <x v="0"/>
  </r>
  <r>
    <n v="25"/>
    <n v="90"/>
    <n v="70"/>
    <n v="6.1"/>
    <x v="0"/>
    <n v="80"/>
    <x v="1"/>
    <x v="0"/>
    <x v="2"/>
    <x v="2"/>
    <x v="1"/>
    <x v="0"/>
  </r>
  <r>
    <n v="30"/>
    <n v="120"/>
    <n v="80"/>
    <n v="6.1"/>
    <x v="0"/>
    <n v="70"/>
    <x v="1"/>
    <x v="0"/>
    <x v="0"/>
    <x v="2"/>
    <x v="1"/>
    <x v="0"/>
  </r>
  <r>
    <n v="31"/>
    <n v="120"/>
    <n v="60"/>
    <n v="6.1"/>
    <x v="0"/>
    <n v="76"/>
    <x v="2"/>
    <x v="1"/>
    <x v="0"/>
    <x v="2"/>
    <x v="1"/>
    <x v="0"/>
  </r>
  <r>
    <n v="23"/>
    <n v="120"/>
    <n v="90"/>
    <n v="6.1"/>
    <x v="0"/>
    <n v="70"/>
    <x v="1"/>
    <x v="0"/>
    <x v="1"/>
    <x v="2"/>
    <x v="1"/>
    <x v="0"/>
  </r>
  <r>
    <n v="29"/>
    <n v="130"/>
    <n v="70"/>
    <n v="6.1"/>
    <x v="0"/>
    <n v="78"/>
    <x v="2"/>
    <x v="0"/>
    <x v="0"/>
    <x v="2"/>
    <x v="1"/>
    <x v="0"/>
  </r>
  <r>
    <n v="17"/>
    <n v="85"/>
    <n v="60"/>
    <n v="9"/>
    <x v="2"/>
    <n v="86"/>
    <x v="0"/>
    <x v="3"/>
    <x v="2"/>
    <x v="1"/>
    <x v="0"/>
    <x v="1"/>
  </r>
  <r>
    <n v="32"/>
    <n v="120"/>
    <n v="90"/>
    <n v="7.5"/>
    <x v="0"/>
    <n v="70"/>
    <x v="1"/>
    <x v="1"/>
    <x v="1"/>
    <x v="2"/>
    <x v="1"/>
    <x v="0"/>
  </r>
  <r>
    <n v="42"/>
    <n v="120"/>
    <n v="80"/>
    <n v="7.5"/>
    <x v="0"/>
    <n v="70"/>
    <x v="1"/>
    <x v="2"/>
    <x v="0"/>
    <x v="2"/>
    <x v="1"/>
    <x v="0"/>
  </r>
  <r>
    <n v="23"/>
    <n v="90"/>
    <n v="60"/>
    <n v="7.5"/>
    <x v="0"/>
    <n v="76"/>
    <x v="1"/>
    <x v="0"/>
    <x v="2"/>
    <x v="2"/>
    <x v="1"/>
    <x v="0"/>
  </r>
  <r>
    <n v="19"/>
    <n v="120"/>
    <n v="80"/>
    <n v="7"/>
    <x v="0"/>
    <n v="70"/>
    <x v="2"/>
    <x v="3"/>
    <x v="0"/>
    <x v="2"/>
    <x v="1"/>
    <x v="0"/>
  </r>
  <r>
    <n v="15"/>
    <n v="76"/>
    <n v="49"/>
    <n v="7.5"/>
    <x v="0"/>
    <n v="77"/>
    <x v="1"/>
    <x v="3"/>
    <x v="4"/>
    <x v="2"/>
    <x v="1"/>
    <x v="0"/>
  </r>
  <r>
    <n v="33"/>
    <n v="120"/>
    <n v="75"/>
    <n v="10"/>
    <x v="0"/>
    <n v="70"/>
    <x v="0"/>
    <x v="1"/>
    <x v="0"/>
    <x v="1"/>
    <x v="1"/>
    <x v="0"/>
  </r>
  <r>
    <n v="48"/>
    <n v="120"/>
    <n v="80"/>
    <n v="11"/>
    <x v="0"/>
    <n v="88"/>
    <x v="0"/>
    <x v="2"/>
    <x v="0"/>
    <x v="1"/>
    <x v="0"/>
    <x v="0"/>
  </r>
  <r>
    <n v="15"/>
    <n v="120"/>
    <n v="80"/>
    <n v="7"/>
    <x v="0"/>
    <n v="70"/>
    <x v="1"/>
    <x v="3"/>
    <x v="0"/>
    <x v="2"/>
    <x v="1"/>
    <x v="0"/>
  </r>
  <r>
    <n v="25"/>
    <n v="120"/>
    <n v="80"/>
    <n v="7"/>
    <x v="0"/>
    <n v="66"/>
    <x v="1"/>
    <x v="0"/>
    <x v="0"/>
    <x v="2"/>
    <x v="2"/>
    <x v="0"/>
  </r>
  <r>
    <n v="22"/>
    <n v="100"/>
    <n v="65"/>
    <n v="7"/>
    <x v="0"/>
    <n v="80"/>
    <x v="1"/>
    <x v="0"/>
    <x v="2"/>
    <x v="2"/>
    <x v="1"/>
    <x v="0"/>
  </r>
  <r>
    <n v="50"/>
    <n v="140"/>
    <n v="95"/>
    <n v="17"/>
    <x v="0"/>
    <n v="60"/>
    <x v="0"/>
    <x v="2"/>
    <x v="1"/>
    <x v="0"/>
    <x v="2"/>
    <x v="0"/>
  </r>
  <r>
    <n v="35"/>
    <n v="100"/>
    <n v="70"/>
    <n v="7"/>
    <x v="0"/>
    <n v="60"/>
    <x v="1"/>
    <x v="1"/>
    <x v="2"/>
    <x v="2"/>
    <x v="2"/>
    <x v="0"/>
  </r>
  <r>
    <n v="19"/>
    <n v="120"/>
    <n v="85"/>
    <n v="7"/>
    <x v="0"/>
    <n v="60"/>
    <x v="1"/>
    <x v="3"/>
    <x v="0"/>
    <x v="2"/>
    <x v="2"/>
    <x v="0"/>
  </r>
  <r>
    <n v="60"/>
    <n v="90"/>
    <n v="65"/>
    <n v="7"/>
    <x v="0"/>
    <n v="77"/>
    <x v="1"/>
    <x v="4"/>
    <x v="2"/>
    <x v="2"/>
    <x v="1"/>
    <x v="0"/>
  </r>
  <r>
    <n v="28"/>
    <n v="85"/>
    <n v="60"/>
    <n v="9"/>
    <x v="3"/>
    <n v="86"/>
    <x v="2"/>
    <x v="0"/>
    <x v="2"/>
    <x v="1"/>
    <x v="0"/>
    <x v="1"/>
  </r>
  <r>
    <n v="50"/>
    <n v="140"/>
    <n v="80"/>
    <n v="6.7"/>
    <x v="0"/>
    <n v="70"/>
    <x v="2"/>
    <x v="2"/>
    <x v="1"/>
    <x v="2"/>
    <x v="1"/>
    <x v="0"/>
  </r>
  <r>
    <n v="29"/>
    <n v="90"/>
    <n v="70"/>
    <n v="6.7"/>
    <x v="0"/>
    <n v="80"/>
    <x v="2"/>
    <x v="0"/>
    <x v="2"/>
    <x v="2"/>
    <x v="1"/>
    <x v="0"/>
  </r>
  <r>
    <n v="30"/>
    <n v="140"/>
    <n v="100"/>
    <n v="15"/>
    <x v="0"/>
    <n v="70"/>
    <x v="0"/>
    <x v="0"/>
    <x v="3"/>
    <x v="0"/>
    <x v="1"/>
    <x v="0"/>
  </r>
  <r>
    <n v="31"/>
    <n v="120"/>
    <n v="60"/>
    <n v="6.1"/>
    <x v="0"/>
    <n v="76"/>
    <x v="2"/>
    <x v="1"/>
    <x v="0"/>
    <x v="2"/>
    <x v="1"/>
    <x v="0"/>
  </r>
  <r>
    <n v="23"/>
    <n v="120"/>
    <n v="90"/>
    <n v="6.7"/>
    <x v="0"/>
    <n v="70"/>
    <x v="1"/>
    <x v="0"/>
    <x v="1"/>
    <x v="2"/>
    <x v="1"/>
    <x v="0"/>
  </r>
  <r>
    <n v="29"/>
    <n v="130"/>
    <n v="70"/>
    <n v="6.7"/>
    <x v="0"/>
    <n v="78"/>
    <x v="2"/>
    <x v="0"/>
    <x v="0"/>
    <x v="2"/>
    <x v="1"/>
    <x v="0"/>
  </r>
  <r>
    <n v="17"/>
    <n v="85"/>
    <n v="60"/>
    <n v="9"/>
    <x v="2"/>
    <n v="86"/>
    <x v="2"/>
    <x v="3"/>
    <x v="2"/>
    <x v="1"/>
    <x v="0"/>
    <x v="1"/>
  </r>
  <r>
    <n v="32"/>
    <n v="120"/>
    <n v="90"/>
    <n v="6.4"/>
    <x v="0"/>
    <n v="70"/>
    <x v="1"/>
    <x v="1"/>
    <x v="1"/>
    <x v="2"/>
    <x v="1"/>
    <x v="0"/>
  </r>
  <r>
    <n v="42"/>
    <n v="120"/>
    <n v="80"/>
    <n v="6.4"/>
    <x v="0"/>
    <n v="70"/>
    <x v="1"/>
    <x v="2"/>
    <x v="0"/>
    <x v="2"/>
    <x v="1"/>
    <x v="0"/>
  </r>
  <r>
    <n v="23"/>
    <n v="90"/>
    <n v="60"/>
    <n v="6.4"/>
    <x v="0"/>
    <n v="76"/>
    <x v="1"/>
    <x v="0"/>
    <x v="2"/>
    <x v="2"/>
    <x v="1"/>
    <x v="0"/>
  </r>
  <r>
    <n v="19"/>
    <n v="120"/>
    <n v="80"/>
    <n v="7"/>
    <x v="0"/>
    <n v="70"/>
    <x v="2"/>
    <x v="3"/>
    <x v="0"/>
    <x v="2"/>
    <x v="1"/>
    <x v="0"/>
  </r>
  <r>
    <n v="15"/>
    <n v="76"/>
    <n v="49"/>
    <n v="6.4"/>
    <x v="0"/>
    <n v="77"/>
    <x v="1"/>
    <x v="3"/>
    <x v="4"/>
    <x v="2"/>
    <x v="1"/>
    <x v="0"/>
  </r>
  <r>
    <n v="29"/>
    <n v="120"/>
    <n v="75"/>
    <n v="7.2"/>
    <x v="1"/>
    <n v="70"/>
    <x v="0"/>
    <x v="0"/>
    <x v="0"/>
    <x v="2"/>
    <x v="1"/>
    <x v="1"/>
  </r>
  <r>
    <n v="48"/>
    <n v="120"/>
    <n v="80"/>
    <n v="11"/>
    <x v="0"/>
    <n v="88"/>
    <x v="0"/>
    <x v="2"/>
    <x v="0"/>
    <x v="1"/>
    <x v="0"/>
    <x v="0"/>
  </r>
  <r>
    <n v="15"/>
    <n v="120"/>
    <n v="80"/>
    <n v="7.2"/>
    <x v="0"/>
    <n v="70"/>
    <x v="1"/>
    <x v="3"/>
    <x v="0"/>
    <x v="2"/>
    <x v="1"/>
    <x v="0"/>
  </r>
  <r>
    <n v="50"/>
    <n v="140"/>
    <n v="90"/>
    <n v="15"/>
    <x v="0"/>
    <n v="77"/>
    <x v="0"/>
    <x v="2"/>
    <x v="1"/>
    <x v="0"/>
    <x v="1"/>
    <x v="0"/>
  </r>
  <r>
    <n v="25"/>
    <n v="140"/>
    <n v="100"/>
    <n v="7.2"/>
    <x v="0"/>
    <n v="80"/>
    <x v="0"/>
    <x v="0"/>
    <x v="3"/>
    <x v="2"/>
    <x v="1"/>
    <x v="0"/>
  </r>
  <r>
    <n v="55"/>
    <n v="140"/>
    <n v="80"/>
    <n v="7.2"/>
    <x v="3"/>
    <n v="76"/>
    <x v="0"/>
    <x v="4"/>
    <x v="1"/>
    <x v="2"/>
    <x v="1"/>
    <x v="1"/>
  </r>
  <r>
    <n v="20"/>
    <n v="110"/>
    <n v="60"/>
    <n v="7"/>
    <x v="1"/>
    <n v="70"/>
    <x v="2"/>
    <x v="3"/>
    <x v="2"/>
    <x v="2"/>
    <x v="1"/>
    <x v="1"/>
  </r>
  <r>
    <n v="40"/>
    <n v="140"/>
    <n v="100"/>
    <n v="18"/>
    <x v="0"/>
    <n v="77"/>
    <x v="0"/>
    <x v="1"/>
    <x v="3"/>
    <x v="0"/>
    <x v="1"/>
    <x v="0"/>
  </r>
  <r>
    <n v="28"/>
    <n v="120"/>
    <n v="80"/>
    <n v="9"/>
    <x v="2"/>
    <n v="76"/>
    <x v="0"/>
    <x v="0"/>
    <x v="0"/>
    <x v="1"/>
    <x v="1"/>
    <x v="1"/>
  </r>
  <r>
    <n v="32"/>
    <n v="140"/>
    <n v="100"/>
    <n v="8"/>
    <x v="0"/>
    <n v="70"/>
    <x v="0"/>
    <x v="1"/>
    <x v="3"/>
    <x v="1"/>
    <x v="1"/>
    <x v="0"/>
  </r>
  <r>
    <n v="17"/>
    <n v="90"/>
    <n v="60"/>
    <n v="11"/>
    <x v="3"/>
    <n v="78"/>
    <x v="0"/>
    <x v="3"/>
    <x v="2"/>
    <x v="1"/>
    <x v="1"/>
    <x v="1"/>
  </r>
  <r>
    <n v="17"/>
    <n v="90"/>
    <n v="63"/>
    <n v="8"/>
    <x v="3"/>
    <n v="70"/>
    <x v="0"/>
    <x v="3"/>
    <x v="2"/>
    <x v="1"/>
    <x v="1"/>
    <x v="1"/>
  </r>
  <r>
    <n v="25"/>
    <n v="120"/>
    <n v="90"/>
    <n v="12"/>
    <x v="3"/>
    <n v="80"/>
    <x v="0"/>
    <x v="0"/>
    <x v="1"/>
    <x v="0"/>
    <x v="1"/>
    <x v="1"/>
  </r>
  <r>
    <n v="17"/>
    <n v="120"/>
    <n v="80"/>
    <n v="7"/>
    <x v="2"/>
    <n v="76"/>
    <x v="0"/>
    <x v="3"/>
    <x v="0"/>
    <x v="2"/>
    <x v="1"/>
    <x v="1"/>
  </r>
  <r>
    <n v="19"/>
    <n v="90"/>
    <n v="65"/>
    <n v="11"/>
    <x v="3"/>
    <n v="70"/>
    <x v="0"/>
    <x v="3"/>
    <x v="2"/>
    <x v="1"/>
    <x v="1"/>
    <x v="1"/>
  </r>
  <r>
    <n v="15"/>
    <n v="80"/>
    <n v="60"/>
    <n v="7"/>
    <x v="0"/>
    <n v="80"/>
    <x v="1"/>
    <x v="3"/>
    <x v="2"/>
    <x v="2"/>
    <x v="1"/>
    <x v="0"/>
  </r>
  <r>
    <n v="32"/>
    <n v="120"/>
    <n v="65"/>
    <n v="6"/>
    <x v="3"/>
    <n v="76"/>
    <x v="2"/>
    <x v="1"/>
    <x v="0"/>
    <x v="2"/>
    <x v="1"/>
    <x v="1"/>
  </r>
  <r>
    <n v="12"/>
    <n v="95"/>
    <n v="60"/>
    <n v="7.2"/>
    <x v="0"/>
    <n v="77"/>
    <x v="1"/>
    <x v="3"/>
    <x v="2"/>
    <x v="2"/>
    <x v="1"/>
    <x v="0"/>
  </r>
  <r>
    <n v="37"/>
    <n v="120"/>
    <n v="90"/>
    <n v="11"/>
    <x v="0"/>
    <n v="88"/>
    <x v="0"/>
    <x v="1"/>
    <x v="1"/>
    <x v="1"/>
    <x v="0"/>
    <x v="0"/>
  </r>
  <r>
    <n v="18"/>
    <n v="100"/>
    <n v="70"/>
    <n v="6.8"/>
    <x v="0"/>
    <n v="76"/>
    <x v="1"/>
    <x v="3"/>
    <x v="2"/>
    <x v="2"/>
    <x v="1"/>
    <x v="0"/>
  </r>
  <r>
    <n v="21"/>
    <n v="100"/>
    <n v="85"/>
    <n v="6.9"/>
    <x v="0"/>
    <n v="70"/>
    <x v="1"/>
    <x v="0"/>
    <x v="0"/>
    <x v="2"/>
    <x v="1"/>
    <x v="0"/>
  </r>
  <r>
    <n v="17"/>
    <n v="110"/>
    <n v="75"/>
    <n v="13"/>
    <x v="3"/>
    <n v="76"/>
    <x v="0"/>
    <x v="3"/>
    <x v="2"/>
    <x v="0"/>
    <x v="1"/>
    <x v="1"/>
  </r>
  <r>
    <n v="25"/>
    <n v="120"/>
    <n v="90"/>
    <n v="15"/>
    <x v="0"/>
    <n v="80"/>
    <x v="0"/>
    <x v="0"/>
    <x v="1"/>
    <x v="0"/>
    <x v="1"/>
    <x v="0"/>
  </r>
  <r>
    <n v="10"/>
    <n v="85"/>
    <n v="65"/>
    <n v="6.9"/>
    <x v="0"/>
    <n v="70"/>
    <x v="1"/>
    <x v="3"/>
    <x v="2"/>
    <x v="2"/>
    <x v="1"/>
    <x v="0"/>
  </r>
  <r>
    <n v="12"/>
    <n v="95"/>
    <n v="60"/>
    <n v="6.9"/>
    <x v="0"/>
    <n v="65"/>
    <x v="1"/>
    <x v="3"/>
    <x v="2"/>
    <x v="2"/>
    <x v="2"/>
    <x v="0"/>
  </r>
  <r>
    <n v="28"/>
    <n v="120"/>
    <n v="90"/>
    <n v="6.9"/>
    <x v="0"/>
    <n v="70"/>
    <x v="1"/>
    <x v="0"/>
    <x v="1"/>
    <x v="2"/>
    <x v="1"/>
    <x v="0"/>
  </r>
  <r>
    <n v="40"/>
    <n v="120"/>
    <n v="90"/>
    <n v="6.9"/>
    <x v="0"/>
    <n v="80"/>
    <x v="1"/>
    <x v="1"/>
    <x v="1"/>
    <x v="2"/>
    <x v="1"/>
    <x v="0"/>
  </r>
  <r>
    <n v="55"/>
    <n v="110"/>
    <n v="85"/>
    <n v="6.9"/>
    <x v="0"/>
    <n v="88"/>
    <x v="1"/>
    <x v="4"/>
    <x v="0"/>
    <x v="2"/>
    <x v="0"/>
    <x v="0"/>
  </r>
  <r>
    <n v="25"/>
    <n v="100"/>
    <n v="90"/>
    <n v="6.9"/>
    <x v="0"/>
    <n v="76"/>
    <x v="1"/>
    <x v="0"/>
    <x v="1"/>
    <x v="2"/>
    <x v="1"/>
    <x v="0"/>
  </r>
  <r>
    <n v="35"/>
    <n v="120"/>
    <n v="80"/>
    <n v="6.9"/>
    <x v="0"/>
    <n v="80"/>
    <x v="1"/>
    <x v="1"/>
    <x v="0"/>
    <x v="2"/>
    <x v="1"/>
    <x v="0"/>
  </r>
  <r>
    <n v="21"/>
    <n v="90"/>
    <n v="65"/>
    <n v="6.9"/>
    <x v="0"/>
    <n v="76"/>
    <x v="1"/>
    <x v="0"/>
    <x v="2"/>
    <x v="2"/>
    <x v="1"/>
    <x v="0"/>
  </r>
  <r>
    <n v="18"/>
    <n v="90"/>
    <n v="60"/>
    <n v="6.9"/>
    <x v="0"/>
    <n v="70"/>
    <x v="1"/>
    <x v="3"/>
    <x v="2"/>
    <x v="2"/>
    <x v="1"/>
    <x v="0"/>
  </r>
  <r>
    <n v="21"/>
    <n v="120"/>
    <n v="80"/>
    <n v="6.9"/>
    <x v="0"/>
    <n v="76"/>
    <x v="1"/>
    <x v="0"/>
    <x v="0"/>
    <x v="2"/>
    <x v="1"/>
    <x v="0"/>
  </r>
  <r>
    <n v="16"/>
    <n v="100"/>
    <n v="70"/>
    <n v="6.9"/>
    <x v="0"/>
    <n v="80"/>
    <x v="1"/>
    <x v="3"/>
    <x v="2"/>
    <x v="2"/>
    <x v="1"/>
    <x v="0"/>
  </r>
  <r>
    <n v="19"/>
    <n v="120"/>
    <n v="75"/>
    <n v="6.9"/>
    <x v="0"/>
    <n v="66"/>
    <x v="1"/>
    <x v="3"/>
    <x v="0"/>
    <x v="2"/>
    <x v="2"/>
    <x v="0"/>
  </r>
  <r>
    <n v="40"/>
    <n v="160"/>
    <n v="100"/>
    <n v="19"/>
    <x v="0"/>
    <n v="77"/>
    <x v="0"/>
    <x v="1"/>
    <x v="3"/>
    <x v="0"/>
    <x v="1"/>
    <x v="0"/>
  </r>
  <r>
    <n v="32"/>
    <n v="140"/>
    <n v="90"/>
    <n v="18"/>
    <x v="0"/>
    <n v="88"/>
    <x v="0"/>
    <x v="1"/>
    <x v="1"/>
    <x v="0"/>
    <x v="0"/>
    <x v="0"/>
  </r>
  <r>
    <n v="22"/>
    <n v="100"/>
    <n v="65"/>
    <n v="6.9"/>
    <x v="0"/>
    <n v="70"/>
    <x v="1"/>
    <x v="0"/>
    <x v="2"/>
    <x v="2"/>
    <x v="1"/>
    <x v="0"/>
  </r>
  <r>
    <n v="49"/>
    <n v="120"/>
    <n v="90"/>
    <n v="6.9"/>
    <x v="0"/>
    <n v="77"/>
    <x v="1"/>
    <x v="2"/>
    <x v="1"/>
    <x v="2"/>
    <x v="1"/>
    <x v="0"/>
  </r>
  <r>
    <n v="28"/>
    <n v="90"/>
    <n v="60"/>
    <n v="6.9"/>
    <x v="0"/>
    <n v="82"/>
    <x v="1"/>
    <x v="0"/>
    <x v="2"/>
    <x v="2"/>
    <x v="1"/>
    <x v="0"/>
  </r>
  <r>
    <n v="12"/>
    <n v="90"/>
    <n v="60"/>
    <n v="8"/>
    <x v="2"/>
    <n v="66"/>
    <x v="0"/>
    <x v="3"/>
    <x v="2"/>
    <x v="1"/>
    <x v="2"/>
    <x v="1"/>
  </r>
  <r>
    <n v="20"/>
    <n v="100"/>
    <n v="90"/>
    <n v="7"/>
    <x v="0"/>
    <n v="88"/>
    <x v="1"/>
    <x v="3"/>
    <x v="1"/>
    <x v="2"/>
    <x v="0"/>
    <x v="0"/>
  </r>
  <r>
    <n v="23"/>
    <n v="100"/>
    <n v="85"/>
    <n v="7"/>
    <x v="0"/>
    <n v="66"/>
    <x v="1"/>
    <x v="0"/>
    <x v="0"/>
    <x v="2"/>
    <x v="2"/>
    <x v="0"/>
  </r>
  <r>
    <n v="22"/>
    <n v="120"/>
    <n v="90"/>
    <n v="7"/>
    <x v="0"/>
    <n v="82"/>
    <x v="1"/>
    <x v="0"/>
    <x v="1"/>
    <x v="2"/>
    <x v="1"/>
    <x v="0"/>
  </r>
  <r>
    <n v="21"/>
    <n v="120"/>
    <n v="80"/>
    <n v="7"/>
    <x v="0"/>
    <n v="77"/>
    <x v="1"/>
    <x v="0"/>
    <x v="0"/>
    <x v="2"/>
    <x v="1"/>
    <x v="0"/>
  </r>
  <r>
    <n v="35"/>
    <n v="140"/>
    <n v="100"/>
    <n v="9"/>
    <x v="0"/>
    <n v="66"/>
    <x v="0"/>
    <x v="1"/>
    <x v="3"/>
    <x v="1"/>
    <x v="2"/>
    <x v="0"/>
  </r>
  <r>
    <n v="54"/>
    <n v="140"/>
    <n v="100"/>
    <n v="15"/>
    <x v="0"/>
    <n v="66"/>
    <x v="0"/>
    <x v="4"/>
    <x v="3"/>
    <x v="0"/>
    <x v="2"/>
    <x v="0"/>
  </r>
  <r>
    <n v="40"/>
    <n v="120"/>
    <n v="95"/>
    <n v="11"/>
    <x v="0"/>
    <n v="80"/>
    <x v="0"/>
    <x v="1"/>
    <x v="1"/>
    <x v="1"/>
    <x v="1"/>
    <x v="0"/>
  </r>
  <r>
    <n v="21"/>
    <n v="75"/>
    <n v="50"/>
    <n v="7.7"/>
    <x v="0"/>
    <n v="60"/>
    <x v="1"/>
    <x v="0"/>
    <x v="4"/>
    <x v="2"/>
    <x v="2"/>
    <x v="0"/>
  </r>
  <r>
    <n v="12"/>
    <n v="90"/>
    <n v="60"/>
    <n v="11"/>
    <x v="2"/>
    <n v="60"/>
    <x v="0"/>
    <x v="3"/>
    <x v="2"/>
    <x v="1"/>
    <x v="2"/>
    <x v="1"/>
  </r>
  <r>
    <n v="60"/>
    <n v="120"/>
    <n v="85"/>
    <n v="15"/>
    <x v="0"/>
    <n v="60"/>
    <x v="0"/>
    <x v="4"/>
    <x v="0"/>
    <x v="0"/>
    <x v="2"/>
    <x v="0"/>
  </r>
  <r>
    <n v="55"/>
    <n v="140"/>
    <n v="95"/>
    <n v="19"/>
    <x v="0"/>
    <n v="77"/>
    <x v="0"/>
    <x v="4"/>
    <x v="1"/>
    <x v="0"/>
    <x v="1"/>
    <x v="0"/>
  </r>
  <r>
    <n v="50"/>
    <n v="130"/>
    <n v="100"/>
    <n v="16"/>
    <x v="0"/>
    <n v="76"/>
    <x v="0"/>
    <x v="2"/>
    <x v="3"/>
    <x v="0"/>
    <x v="1"/>
    <x v="0"/>
  </r>
  <r>
    <n v="60"/>
    <n v="120"/>
    <n v="80"/>
    <n v="7.7"/>
    <x v="0"/>
    <n v="75"/>
    <x v="1"/>
    <x v="4"/>
    <x v="0"/>
    <x v="2"/>
    <x v="1"/>
    <x v="0"/>
  </r>
  <r>
    <n v="55"/>
    <n v="100"/>
    <n v="65"/>
    <n v="7.7"/>
    <x v="0"/>
    <n v="66"/>
    <x v="1"/>
    <x v="4"/>
    <x v="2"/>
    <x v="2"/>
    <x v="2"/>
    <x v="0"/>
  </r>
  <r>
    <n v="45"/>
    <n v="120"/>
    <n v="95"/>
    <n v="7.7"/>
    <x v="0"/>
    <n v="66"/>
    <x v="1"/>
    <x v="2"/>
    <x v="1"/>
    <x v="2"/>
    <x v="2"/>
    <x v="0"/>
  </r>
  <r>
    <n v="35"/>
    <n v="100"/>
    <n v="70"/>
    <n v="7.7"/>
    <x v="0"/>
    <n v="66"/>
    <x v="1"/>
    <x v="1"/>
    <x v="2"/>
    <x v="2"/>
    <x v="2"/>
    <x v="0"/>
  </r>
  <r>
    <n v="22"/>
    <n v="120"/>
    <n v="85"/>
    <n v="7.7"/>
    <x v="0"/>
    <n v="88"/>
    <x v="1"/>
    <x v="0"/>
    <x v="0"/>
    <x v="2"/>
    <x v="0"/>
    <x v="0"/>
  </r>
  <r>
    <n v="13"/>
    <n v="90"/>
    <n v="65"/>
    <n v="9"/>
    <x v="3"/>
    <n v="80"/>
    <x v="0"/>
    <x v="3"/>
    <x v="2"/>
    <x v="1"/>
    <x v="1"/>
    <x v="1"/>
  </r>
  <r>
    <n v="23"/>
    <n v="120"/>
    <n v="90"/>
    <n v="7.7"/>
    <x v="0"/>
    <n v="60"/>
    <x v="1"/>
    <x v="0"/>
    <x v="1"/>
    <x v="2"/>
    <x v="2"/>
    <x v="0"/>
  </r>
  <r>
    <n v="17"/>
    <n v="90"/>
    <n v="65"/>
    <n v="7.7"/>
    <x v="4"/>
    <n v="67"/>
    <x v="0"/>
    <x v="3"/>
    <x v="2"/>
    <x v="2"/>
    <x v="2"/>
    <x v="1"/>
  </r>
  <r>
    <n v="26"/>
    <n v="85"/>
    <n v="60"/>
    <n v="6"/>
    <x v="3"/>
    <n v="86"/>
    <x v="2"/>
    <x v="0"/>
    <x v="2"/>
    <x v="2"/>
    <x v="0"/>
    <x v="1"/>
  </r>
  <r>
    <n v="50"/>
    <n v="120"/>
    <n v="80"/>
    <n v="7.7"/>
    <x v="0"/>
    <n v="70"/>
    <x v="1"/>
    <x v="2"/>
    <x v="0"/>
    <x v="2"/>
    <x v="1"/>
    <x v="0"/>
  </r>
  <r>
    <n v="19"/>
    <n v="90"/>
    <n v="70"/>
    <n v="7.7"/>
    <x v="0"/>
    <n v="80"/>
    <x v="1"/>
    <x v="3"/>
    <x v="2"/>
    <x v="2"/>
    <x v="1"/>
    <x v="0"/>
  </r>
  <r>
    <n v="30"/>
    <n v="120"/>
    <n v="80"/>
    <n v="7.7"/>
    <x v="0"/>
    <n v="70"/>
    <x v="1"/>
    <x v="0"/>
    <x v="0"/>
    <x v="2"/>
    <x v="1"/>
    <x v="0"/>
  </r>
  <r>
    <n v="31"/>
    <n v="120"/>
    <n v="60"/>
    <n v="6.1"/>
    <x v="0"/>
    <n v="76"/>
    <x v="1"/>
    <x v="1"/>
    <x v="0"/>
    <x v="2"/>
    <x v="1"/>
    <x v="0"/>
  </r>
  <r>
    <n v="23"/>
    <n v="120"/>
    <n v="80"/>
    <n v="7.7"/>
    <x v="0"/>
    <n v="70"/>
    <x v="1"/>
    <x v="0"/>
    <x v="0"/>
    <x v="2"/>
    <x v="1"/>
    <x v="0"/>
  </r>
  <r>
    <n v="29"/>
    <n v="130"/>
    <n v="70"/>
    <n v="7.7"/>
    <x v="0"/>
    <n v="78"/>
    <x v="2"/>
    <x v="0"/>
    <x v="0"/>
    <x v="2"/>
    <x v="1"/>
    <x v="0"/>
  </r>
  <r>
    <n v="17"/>
    <n v="85"/>
    <n v="60"/>
    <n v="6.3"/>
    <x v="2"/>
    <n v="86"/>
    <x v="0"/>
    <x v="3"/>
    <x v="2"/>
    <x v="2"/>
    <x v="0"/>
    <x v="1"/>
  </r>
  <r>
    <n v="32"/>
    <n v="120"/>
    <n v="90"/>
    <n v="7.7"/>
    <x v="0"/>
    <n v="70"/>
    <x v="1"/>
    <x v="1"/>
    <x v="1"/>
    <x v="2"/>
    <x v="1"/>
    <x v="0"/>
  </r>
  <r>
    <n v="42"/>
    <n v="120"/>
    <n v="80"/>
    <n v="7.7"/>
    <x v="0"/>
    <n v="70"/>
    <x v="1"/>
    <x v="2"/>
    <x v="0"/>
    <x v="2"/>
    <x v="1"/>
    <x v="0"/>
  </r>
  <r>
    <n v="23"/>
    <n v="90"/>
    <n v="60"/>
    <n v="7.7"/>
    <x v="0"/>
    <n v="76"/>
    <x v="1"/>
    <x v="0"/>
    <x v="2"/>
    <x v="2"/>
    <x v="1"/>
    <x v="0"/>
  </r>
  <r>
    <n v="19"/>
    <n v="120"/>
    <n v="80"/>
    <n v="7"/>
    <x v="0"/>
    <n v="70"/>
    <x v="2"/>
    <x v="3"/>
    <x v="0"/>
    <x v="2"/>
    <x v="1"/>
    <x v="0"/>
  </r>
  <r>
    <n v="15"/>
    <n v="75"/>
    <n v="49"/>
    <n v="7.7"/>
    <x v="0"/>
    <n v="77"/>
    <x v="1"/>
    <x v="3"/>
    <x v="4"/>
    <x v="2"/>
    <x v="1"/>
    <x v="0"/>
  </r>
  <r>
    <n v="40"/>
    <n v="120"/>
    <n v="75"/>
    <n v="7.7"/>
    <x v="0"/>
    <n v="70"/>
    <x v="0"/>
    <x v="1"/>
    <x v="0"/>
    <x v="2"/>
    <x v="1"/>
    <x v="0"/>
  </r>
  <r>
    <n v="48"/>
    <n v="120"/>
    <n v="80"/>
    <n v="11"/>
    <x v="0"/>
    <n v="88"/>
    <x v="0"/>
    <x v="2"/>
    <x v="0"/>
    <x v="1"/>
    <x v="0"/>
    <x v="0"/>
  </r>
  <r>
    <n v="15"/>
    <n v="120"/>
    <n v="80"/>
    <n v="7.7"/>
    <x v="0"/>
    <n v="70"/>
    <x v="1"/>
    <x v="3"/>
    <x v="0"/>
    <x v="2"/>
    <x v="1"/>
    <x v="0"/>
  </r>
  <r>
    <n v="25"/>
    <n v="120"/>
    <n v="80"/>
    <n v="7.7"/>
    <x v="0"/>
    <n v="66"/>
    <x v="1"/>
    <x v="0"/>
    <x v="0"/>
    <x v="2"/>
    <x v="2"/>
    <x v="0"/>
  </r>
  <r>
    <n v="22"/>
    <n v="100"/>
    <n v="65"/>
    <n v="6.9"/>
    <x v="0"/>
    <n v="80"/>
    <x v="1"/>
    <x v="0"/>
    <x v="2"/>
    <x v="2"/>
    <x v="1"/>
    <x v="0"/>
  </r>
  <r>
    <n v="12"/>
    <n v="120"/>
    <n v="95"/>
    <n v="6.9"/>
    <x v="0"/>
    <n v="60"/>
    <x v="1"/>
    <x v="3"/>
    <x v="1"/>
    <x v="2"/>
    <x v="2"/>
    <x v="0"/>
  </r>
  <r>
    <n v="35"/>
    <n v="100"/>
    <n v="70"/>
    <n v="6.9"/>
    <x v="0"/>
    <n v="60"/>
    <x v="1"/>
    <x v="1"/>
    <x v="2"/>
    <x v="2"/>
    <x v="2"/>
    <x v="0"/>
  </r>
  <r>
    <n v="19"/>
    <n v="120"/>
    <n v="85"/>
    <n v="6.9"/>
    <x v="0"/>
    <n v="60"/>
    <x v="1"/>
    <x v="3"/>
    <x v="0"/>
    <x v="2"/>
    <x v="2"/>
    <x v="0"/>
  </r>
  <r>
    <n v="60"/>
    <n v="90"/>
    <n v="65"/>
    <n v="6.9"/>
    <x v="0"/>
    <n v="77"/>
    <x v="1"/>
    <x v="4"/>
    <x v="2"/>
    <x v="2"/>
    <x v="1"/>
    <x v="0"/>
  </r>
  <r>
    <n v="55"/>
    <n v="120"/>
    <n v="90"/>
    <n v="6.9"/>
    <x v="0"/>
    <n v="76"/>
    <x v="1"/>
    <x v="4"/>
    <x v="1"/>
    <x v="2"/>
    <x v="1"/>
    <x v="0"/>
  </r>
  <r>
    <n v="35"/>
    <n v="90"/>
    <n v="65"/>
    <n v="6.9"/>
    <x v="0"/>
    <n v="75"/>
    <x v="1"/>
    <x v="1"/>
    <x v="2"/>
    <x v="2"/>
    <x v="1"/>
    <x v="0"/>
  </r>
  <r>
    <n v="51"/>
    <n v="85"/>
    <n v="60"/>
    <n v="6.9"/>
    <x v="0"/>
    <n v="66"/>
    <x v="1"/>
    <x v="4"/>
    <x v="2"/>
    <x v="2"/>
    <x v="2"/>
    <x v="0"/>
  </r>
  <r>
    <n v="62"/>
    <n v="120"/>
    <n v="80"/>
    <n v="6.9"/>
    <x v="0"/>
    <n v="66"/>
    <x v="1"/>
    <x v="4"/>
    <x v="0"/>
    <x v="2"/>
    <x v="2"/>
    <x v="0"/>
  </r>
  <r>
    <n v="25"/>
    <n v="90"/>
    <n v="70"/>
    <n v="6.9"/>
    <x v="0"/>
    <n v="66"/>
    <x v="1"/>
    <x v="0"/>
    <x v="2"/>
    <x v="2"/>
    <x v="2"/>
    <x v="0"/>
  </r>
  <r>
    <n v="21"/>
    <n v="120"/>
    <n v="80"/>
    <n v="6.9"/>
    <x v="0"/>
    <n v="88"/>
    <x v="1"/>
    <x v="0"/>
    <x v="0"/>
    <x v="2"/>
    <x v="0"/>
    <x v="0"/>
  </r>
  <r>
    <n v="22"/>
    <n v="120"/>
    <n v="60"/>
    <n v="15"/>
    <x v="0"/>
    <n v="80"/>
    <x v="0"/>
    <x v="0"/>
    <x v="0"/>
    <x v="0"/>
    <x v="1"/>
    <x v="0"/>
  </r>
  <r>
    <n v="55"/>
    <n v="120"/>
    <n v="90"/>
    <n v="18"/>
    <x v="0"/>
    <n v="60"/>
    <x v="0"/>
    <x v="4"/>
    <x v="1"/>
    <x v="0"/>
    <x v="2"/>
    <x v="0"/>
  </r>
  <r>
    <n v="54"/>
    <n v="130"/>
    <n v="70"/>
    <n v="12"/>
    <x v="0"/>
    <n v="67"/>
    <x v="2"/>
    <x v="4"/>
    <x v="0"/>
    <x v="0"/>
    <x v="2"/>
    <x v="0"/>
  </r>
  <r>
    <n v="35"/>
    <n v="85"/>
    <n v="60"/>
    <n v="19"/>
    <x v="0"/>
    <n v="86"/>
    <x v="0"/>
    <x v="1"/>
    <x v="2"/>
    <x v="0"/>
    <x v="0"/>
    <x v="0"/>
  </r>
  <r>
    <n v="43"/>
    <n v="120"/>
    <n v="90"/>
    <n v="18"/>
    <x v="0"/>
    <n v="70"/>
    <x v="0"/>
    <x v="2"/>
    <x v="1"/>
    <x v="0"/>
    <x v="1"/>
    <x v="0"/>
  </r>
  <r>
    <n v="12"/>
    <n v="120"/>
    <n v="80"/>
    <n v="6.9"/>
    <x v="0"/>
    <n v="80"/>
    <x v="1"/>
    <x v="3"/>
    <x v="0"/>
    <x v="2"/>
    <x v="1"/>
    <x v="0"/>
  </r>
  <r>
    <n v="65"/>
    <n v="90"/>
    <n v="60"/>
    <n v="6.9"/>
    <x v="0"/>
    <n v="70"/>
    <x v="1"/>
    <x v="4"/>
    <x v="2"/>
    <x v="2"/>
    <x v="1"/>
    <x v="0"/>
  </r>
  <r>
    <n v="60"/>
    <n v="120"/>
    <n v="80"/>
    <n v="6.9"/>
    <x v="0"/>
    <n v="76"/>
    <x v="1"/>
    <x v="4"/>
    <x v="0"/>
    <x v="2"/>
    <x v="1"/>
    <x v="0"/>
  </r>
  <r>
    <n v="25"/>
    <n v="120"/>
    <n v="90"/>
    <n v="6.9"/>
    <x v="0"/>
    <n v="70"/>
    <x v="1"/>
    <x v="0"/>
    <x v="1"/>
    <x v="2"/>
    <x v="1"/>
    <x v="0"/>
  </r>
  <r>
    <n v="22"/>
    <n v="90"/>
    <n v="65"/>
    <n v="6.9"/>
    <x v="0"/>
    <n v="78"/>
    <x v="1"/>
    <x v="0"/>
    <x v="2"/>
    <x v="2"/>
    <x v="1"/>
    <x v="0"/>
  </r>
  <r>
    <n v="66"/>
    <n v="85"/>
    <n v="60"/>
    <n v="6.9"/>
    <x v="0"/>
    <n v="86"/>
    <x v="1"/>
    <x v="4"/>
    <x v="2"/>
    <x v="2"/>
    <x v="0"/>
    <x v="0"/>
  </r>
  <r>
    <n v="56"/>
    <n v="120"/>
    <n v="80"/>
    <n v="13"/>
    <x v="0"/>
    <n v="70"/>
    <x v="0"/>
    <x v="4"/>
    <x v="0"/>
    <x v="0"/>
    <x v="1"/>
    <x v="0"/>
  </r>
  <r>
    <n v="35"/>
    <n v="90"/>
    <n v="70"/>
    <n v="6.9"/>
    <x v="0"/>
    <n v="70"/>
    <x v="1"/>
    <x v="1"/>
    <x v="2"/>
    <x v="2"/>
    <x v="1"/>
    <x v="0"/>
  </r>
  <r>
    <n v="43"/>
    <n v="120"/>
    <n v="80"/>
    <n v="15"/>
    <x v="0"/>
    <n v="76"/>
    <x v="0"/>
    <x v="2"/>
    <x v="0"/>
    <x v="0"/>
    <x v="1"/>
    <x v="0"/>
  </r>
  <r>
    <n v="35"/>
    <n v="120"/>
    <n v="60"/>
    <n v="6.9"/>
    <x v="0"/>
    <n v="70"/>
    <x v="1"/>
    <x v="1"/>
    <x v="0"/>
    <x v="2"/>
    <x v="1"/>
    <x v="0"/>
  </r>
  <r>
    <n v="44"/>
    <n v="120"/>
    <n v="90"/>
    <n v="16"/>
    <x v="0"/>
    <n v="80"/>
    <x v="2"/>
    <x v="2"/>
    <x v="1"/>
    <x v="0"/>
    <x v="1"/>
    <x v="0"/>
  </r>
  <r>
    <n v="23"/>
    <n v="130"/>
    <n v="70"/>
    <n v="6.9"/>
    <x v="0"/>
    <n v="70"/>
    <x v="2"/>
    <x v="0"/>
    <x v="0"/>
    <x v="2"/>
    <x v="1"/>
    <x v="0"/>
  </r>
  <r>
    <n v="22"/>
    <n v="85"/>
    <n v="60"/>
    <n v="6.9"/>
    <x v="0"/>
    <n v="76"/>
    <x v="2"/>
    <x v="0"/>
    <x v="2"/>
    <x v="2"/>
    <x v="1"/>
    <x v="0"/>
  </r>
  <r>
    <n v="55"/>
    <n v="120"/>
    <n v="90"/>
    <n v="12"/>
    <x v="0"/>
    <n v="70"/>
    <x v="2"/>
    <x v="4"/>
    <x v="1"/>
    <x v="0"/>
    <x v="1"/>
    <x v="0"/>
  </r>
  <r>
    <n v="35"/>
    <n v="120"/>
    <n v="80"/>
    <n v="6.9"/>
    <x v="0"/>
    <n v="78"/>
    <x v="2"/>
    <x v="1"/>
    <x v="0"/>
    <x v="2"/>
    <x v="1"/>
    <x v="0"/>
  </r>
  <r>
    <n v="21"/>
    <n v="90"/>
    <n v="60"/>
    <n v="6.9"/>
    <x v="0"/>
    <n v="86"/>
    <x v="2"/>
    <x v="0"/>
    <x v="2"/>
    <x v="2"/>
    <x v="0"/>
    <x v="0"/>
  </r>
  <r>
    <n v="45"/>
    <n v="120"/>
    <n v="80"/>
    <n v="6.9"/>
    <x v="4"/>
    <n v="70"/>
    <x v="1"/>
    <x v="2"/>
    <x v="0"/>
    <x v="2"/>
    <x v="1"/>
    <x v="1"/>
  </r>
  <r>
    <n v="70"/>
    <n v="85"/>
    <n v="60"/>
    <n v="6.9"/>
    <x v="2"/>
    <n v="70"/>
    <x v="1"/>
    <x v="4"/>
    <x v="2"/>
    <x v="2"/>
    <x v="1"/>
    <x v="1"/>
  </r>
  <r>
    <n v="65"/>
    <n v="120"/>
    <n v="90"/>
    <n v="6.9"/>
    <x v="4"/>
    <n v="76"/>
    <x v="1"/>
    <x v="4"/>
    <x v="1"/>
    <x v="2"/>
    <x v="1"/>
    <x v="1"/>
  </r>
  <r>
    <n v="55"/>
    <n v="120"/>
    <n v="80"/>
    <n v="6.9"/>
    <x v="2"/>
    <n v="80"/>
    <x v="1"/>
    <x v="4"/>
    <x v="0"/>
    <x v="2"/>
    <x v="1"/>
    <x v="1"/>
  </r>
  <r>
    <n v="45"/>
    <n v="90"/>
    <n v="60"/>
    <n v="18"/>
    <x v="3"/>
    <n v="70"/>
    <x v="0"/>
    <x v="2"/>
    <x v="2"/>
    <x v="0"/>
    <x v="1"/>
    <x v="1"/>
  </r>
  <r>
    <n v="22"/>
    <n v="120"/>
    <n v="80"/>
    <n v="6.9"/>
    <x v="4"/>
    <n v="76"/>
    <x v="1"/>
    <x v="0"/>
    <x v="0"/>
    <x v="2"/>
    <x v="1"/>
    <x v="1"/>
  </r>
  <r>
    <n v="16"/>
    <n v="90"/>
    <n v="65"/>
    <n v="6.9"/>
    <x v="0"/>
    <n v="76"/>
    <x v="2"/>
    <x v="3"/>
    <x v="2"/>
    <x v="2"/>
    <x v="1"/>
    <x v="0"/>
  </r>
  <r>
    <n v="12"/>
    <n v="95"/>
    <n v="60"/>
    <n v="6.9"/>
    <x v="0"/>
    <n v="77"/>
    <x v="1"/>
    <x v="3"/>
    <x v="2"/>
    <x v="2"/>
    <x v="1"/>
    <x v="0"/>
  </r>
  <r>
    <n v="37"/>
    <n v="120"/>
    <n v="90"/>
    <n v="11"/>
    <x v="0"/>
    <n v="88"/>
    <x v="0"/>
    <x v="1"/>
    <x v="1"/>
    <x v="1"/>
    <x v="0"/>
    <x v="0"/>
  </r>
  <r>
    <n v="18"/>
    <n v="100"/>
    <n v="70"/>
    <n v="6.9"/>
    <x v="0"/>
    <n v="76"/>
    <x v="1"/>
    <x v="3"/>
    <x v="2"/>
    <x v="2"/>
    <x v="1"/>
    <x v="0"/>
  </r>
  <r>
    <n v="21"/>
    <n v="100"/>
    <n v="85"/>
    <n v="6.9"/>
    <x v="0"/>
    <n v="70"/>
    <x v="1"/>
    <x v="0"/>
    <x v="0"/>
    <x v="2"/>
    <x v="1"/>
    <x v="0"/>
  </r>
  <r>
    <n v="17"/>
    <n v="110"/>
    <n v="75"/>
    <n v="6.9"/>
    <x v="3"/>
    <n v="76"/>
    <x v="0"/>
    <x v="3"/>
    <x v="2"/>
    <x v="2"/>
    <x v="1"/>
    <x v="1"/>
  </r>
  <r>
    <n v="25"/>
    <n v="120"/>
    <n v="90"/>
    <n v="6.9"/>
    <x v="0"/>
    <n v="80"/>
    <x v="1"/>
    <x v="0"/>
    <x v="1"/>
    <x v="2"/>
    <x v="1"/>
    <x v="0"/>
  </r>
  <r>
    <n v="33"/>
    <n v="115"/>
    <n v="65"/>
    <n v="7"/>
    <x v="0"/>
    <n v="70"/>
    <x v="2"/>
    <x v="1"/>
    <x v="2"/>
    <x v="2"/>
    <x v="1"/>
    <x v="0"/>
  </r>
  <r>
    <n v="12"/>
    <n v="95"/>
    <n v="60"/>
    <n v="6.9"/>
    <x v="0"/>
    <n v="65"/>
    <x v="2"/>
    <x v="3"/>
    <x v="2"/>
    <x v="2"/>
    <x v="2"/>
    <x v="0"/>
  </r>
  <r>
    <n v="28"/>
    <n v="120"/>
    <n v="90"/>
    <n v="6.9"/>
    <x v="0"/>
    <n v="70"/>
    <x v="2"/>
    <x v="0"/>
    <x v="1"/>
    <x v="2"/>
    <x v="1"/>
    <x v="0"/>
  </r>
  <r>
    <n v="40"/>
    <n v="120"/>
    <n v="90"/>
    <n v="6.9"/>
    <x v="0"/>
    <n v="80"/>
    <x v="0"/>
    <x v="1"/>
    <x v="1"/>
    <x v="2"/>
    <x v="1"/>
    <x v="0"/>
  </r>
  <r>
    <n v="55"/>
    <n v="110"/>
    <n v="85"/>
    <n v="6.9"/>
    <x v="0"/>
    <n v="88"/>
    <x v="0"/>
    <x v="4"/>
    <x v="0"/>
    <x v="2"/>
    <x v="0"/>
    <x v="0"/>
  </r>
  <r>
    <n v="25"/>
    <n v="100"/>
    <n v="90"/>
    <n v="6.9"/>
    <x v="0"/>
    <n v="76"/>
    <x v="0"/>
    <x v="0"/>
    <x v="1"/>
    <x v="2"/>
    <x v="1"/>
    <x v="0"/>
  </r>
  <r>
    <n v="35"/>
    <n v="120"/>
    <n v="80"/>
    <n v="6.9"/>
    <x v="0"/>
    <n v="80"/>
    <x v="0"/>
    <x v="1"/>
    <x v="0"/>
    <x v="2"/>
    <x v="1"/>
    <x v="0"/>
  </r>
  <r>
    <n v="21"/>
    <n v="90"/>
    <n v="65"/>
    <n v="6.9"/>
    <x v="0"/>
    <n v="76"/>
    <x v="2"/>
    <x v="0"/>
    <x v="2"/>
    <x v="2"/>
    <x v="1"/>
    <x v="0"/>
  </r>
  <r>
    <n v="18"/>
    <n v="90"/>
    <n v="60"/>
    <n v="6.9"/>
    <x v="0"/>
    <n v="70"/>
    <x v="2"/>
    <x v="3"/>
    <x v="2"/>
    <x v="2"/>
    <x v="1"/>
    <x v="0"/>
  </r>
  <r>
    <n v="21"/>
    <n v="120"/>
    <n v="80"/>
    <n v="6.9"/>
    <x v="0"/>
    <n v="76"/>
    <x v="2"/>
    <x v="0"/>
    <x v="0"/>
    <x v="2"/>
    <x v="1"/>
    <x v="0"/>
  </r>
  <r>
    <n v="16"/>
    <n v="100"/>
    <n v="70"/>
    <n v="6.9"/>
    <x v="0"/>
    <n v="80"/>
    <x v="2"/>
    <x v="3"/>
    <x v="2"/>
    <x v="2"/>
    <x v="1"/>
    <x v="0"/>
  </r>
  <r>
    <n v="19"/>
    <n v="120"/>
    <n v="75"/>
    <n v="6.9"/>
    <x v="0"/>
    <n v="66"/>
    <x v="2"/>
    <x v="3"/>
    <x v="0"/>
    <x v="2"/>
    <x v="2"/>
    <x v="0"/>
  </r>
  <r>
    <n v="40"/>
    <n v="160"/>
    <n v="100"/>
    <n v="19"/>
    <x v="0"/>
    <n v="77"/>
    <x v="0"/>
    <x v="1"/>
    <x v="3"/>
    <x v="0"/>
    <x v="1"/>
    <x v="0"/>
  </r>
  <r>
    <n v="32"/>
    <n v="140"/>
    <n v="90"/>
    <n v="18"/>
    <x v="0"/>
    <n v="88"/>
    <x v="0"/>
    <x v="1"/>
    <x v="1"/>
    <x v="0"/>
    <x v="0"/>
    <x v="0"/>
  </r>
  <r>
    <n v="23"/>
    <n v="100"/>
    <n v="85"/>
    <n v="6.9"/>
    <x v="0"/>
    <n v="66"/>
    <x v="2"/>
    <x v="0"/>
    <x v="0"/>
    <x v="2"/>
    <x v="2"/>
    <x v="0"/>
  </r>
  <r>
    <n v="22"/>
    <n v="120"/>
    <n v="90"/>
    <n v="7.8"/>
    <x v="0"/>
    <n v="82"/>
    <x v="2"/>
    <x v="0"/>
    <x v="1"/>
    <x v="2"/>
    <x v="1"/>
    <x v="0"/>
  </r>
  <r>
    <n v="21"/>
    <n v="120"/>
    <n v="80"/>
    <n v="7.8"/>
    <x v="0"/>
    <n v="77"/>
    <x v="1"/>
    <x v="0"/>
    <x v="0"/>
    <x v="2"/>
    <x v="1"/>
    <x v="0"/>
  </r>
  <r>
    <n v="35"/>
    <n v="140"/>
    <n v="100"/>
    <n v="7.8"/>
    <x v="0"/>
    <n v="66"/>
    <x v="0"/>
    <x v="1"/>
    <x v="3"/>
    <x v="2"/>
    <x v="2"/>
    <x v="0"/>
  </r>
  <r>
    <n v="54"/>
    <n v="140"/>
    <n v="100"/>
    <n v="15"/>
    <x v="0"/>
    <n v="66"/>
    <x v="0"/>
    <x v="4"/>
    <x v="3"/>
    <x v="0"/>
    <x v="2"/>
    <x v="0"/>
  </r>
  <r>
    <n v="40"/>
    <n v="120"/>
    <n v="95"/>
    <n v="11"/>
    <x v="0"/>
    <n v="80"/>
    <x v="0"/>
    <x v="1"/>
    <x v="1"/>
    <x v="1"/>
    <x v="1"/>
    <x v="0"/>
  </r>
  <r>
    <n v="21"/>
    <n v="75"/>
    <n v="50"/>
    <n v="7.8"/>
    <x v="0"/>
    <n v="60"/>
    <x v="1"/>
    <x v="0"/>
    <x v="4"/>
    <x v="2"/>
    <x v="2"/>
    <x v="0"/>
  </r>
  <r>
    <n v="12"/>
    <n v="90"/>
    <n v="60"/>
    <n v="7.8"/>
    <x v="2"/>
    <n v="60"/>
    <x v="0"/>
    <x v="3"/>
    <x v="2"/>
    <x v="2"/>
    <x v="2"/>
    <x v="1"/>
  </r>
  <r>
    <n v="60"/>
    <n v="120"/>
    <n v="85"/>
    <n v="15"/>
    <x v="0"/>
    <n v="60"/>
    <x v="2"/>
    <x v="4"/>
    <x v="0"/>
    <x v="0"/>
    <x v="2"/>
    <x v="0"/>
  </r>
  <r>
    <n v="55"/>
    <n v="140"/>
    <n v="95"/>
    <n v="19"/>
    <x v="0"/>
    <n v="77"/>
    <x v="0"/>
    <x v="4"/>
    <x v="1"/>
    <x v="0"/>
    <x v="1"/>
    <x v="0"/>
  </r>
  <r>
    <n v="50"/>
    <n v="130"/>
    <n v="100"/>
    <n v="16"/>
    <x v="0"/>
    <n v="75"/>
    <x v="0"/>
    <x v="2"/>
    <x v="3"/>
    <x v="0"/>
    <x v="1"/>
    <x v="0"/>
  </r>
  <r>
    <n v="60"/>
    <n v="120"/>
    <n v="80"/>
    <n v="7.8"/>
    <x v="0"/>
    <n v="75"/>
    <x v="0"/>
    <x v="4"/>
    <x v="0"/>
    <x v="2"/>
    <x v="1"/>
    <x v="0"/>
  </r>
  <r>
    <n v="55"/>
    <n v="100"/>
    <n v="65"/>
    <n v="7.8"/>
    <x v="0"/>
    <n v="66"/>
    <x v="1"/>
    <x v="4"/>
    <x v="2"/>
    <x v="2"/>
    <x v="2"/>
    <x v="0"/>
  </r>
  <r>
    <n v="45"/>
    <n v="120"/>
    <n v="95"/>
    <n v="7.8"/>
    <x v="0"/>
    <n v="66"/>
    <x v="1"/>
    <x v="2"/>
    <x v="1"/>
    <x v="2"/>
    <x v="2"/>
    <x v="0"/>
  </r>
  <r>
    <n v="35"/>
    <n v="100"/>
    <n v="70"/>
    <n v="7.8"/>
    <x v="0"/>
    <n v="66"/>
    <x v="1"/>
    <x v="1"/>
    <x v="2"/>
    <x v="2"/>
    <x v="2"/>
    <x v="0"/>
  </r>
  <r>
    <n v="22"/>
    <n v="120"/>
    <n v="85"/>
    <n v="7.8"/>
    <x v="0"/>
    <n v="88"/>
    <x v="1"/>
    <x v="0"/>
    <x v="0"/>
    <x v="2"/>
    <x v="0"/>
    <x v="0"/>
  </r>
  <r>
    <n v="13"/>
    <n v="90"/>
    <n v="65"/>
    <n v="7.8"/>
    <x v="3"/>
    <n v="80"/>
    <x v="2"/>
    <x v="3"/>
    <x v="2"/>
    <x v="2"/>
    <x v="1"/>
    <x v="1"/>
  </r>
  <r>
    <n v="23"/>
    <n v="120"/>
    <n v="90"/>
    <n v="7.8"/>
    <x v="0"/>
    <n v="60"/>
    <x v="2"/>
    <x v="0"/>
    <x v="1"/>
    <x v="2"/>
    <x v="2"/>
    <x v="0"/>
  </r>
  <r>
    <n v="17"/>
    <n v="90"/>
    <n v="65"/>
    <n v="7.8"/>
    <x v="4"/>
    <n v="67"/>
    <x v="0"/>
    <x v="3"/>
    <x v="2"/>
    <x v="2"/>
    <x v="2"/>
    <x v="1"/>
  </r>
  <r>
    <n v="28"/>
    <n v="115"/>
    <n v="60"/>
    <n v="7.8"/>
    <x v="3"/>
    <n v="86"/>
    <x v="2"/>
    <x v="0"/>
    <x v="2"/>
    <x v="2"/>
    <x v="0"/>
    <x v="1"/>
  </r>
  <r>
    <n v="50"/>
    <n v="120"/>
    <n v="80"/>
    <n v="7.8"/>
    <x v="0"/>
    <n v="70"/>
    <x v="2"/>
    <x v="2"/>
    <x v="0"/>
    <x v="2"/>
    <x v="1"/>
    <x v="0"/>
  </r>
  <r>
    <n v="19"/>
    <n v="90"/>
    <n v="70"/>
    <n v="7.8"/>
    <x v="0"/>
    <n v="80"/>
    <x v="1"/>
    <x v="3"/>
    <x v="2"/>
    <x v="2"/>
    <x v="1"/>
    <x v="0"/>
  </r>
  <r>
    <n v="30"/>
    <n v="120"/>
    <n v="80"/>
    <n v="7.8"/>
    <x v="0"/>
    <n v="70"/>
    <x v="1"/>
    <x v="0"/>
    <x v="0"/>
    <x v="2"/>
    <x v="1"/>
    <x v="0"/>
  </r>
  <r>
    <n v="31"/>
    <n v="120"/>
    <n v="60"/>
    <n v="6.1"/>
    <x v="0"/>
    <n v="76"/>
    <x v="1"/>
    <x v="1"/>
    <x v="0"/>
    <x v="2"/>
    <x v="1"/>
    <x v="0"/>
  </r>
  <r>
    <n v="23"/>
    <n v="120"/>
    <n v="70"/>
    <n v="7.8"/>
    <x v="0"/>
    <n v="70"/>
    <x v="1"/>
    <x v="0"/>
    <x v="0"/>
    <x v="2"/>
    <x v="1"/>
    <x v="0"/>
  </r>
  <r>
    <n v="29"/>
    <n v="130"/>
    <n v="70"/>
    <n v="7.8"/>
    <x v="0"/>
    <n v="78"/>
    <x v="2"/>
    <x v="0"/>
    <x v="0"/>
    <x v="2"/>
    <x v="1"/>
    <x v="0"/>
  </r>
  <r>
    <n v="17"/>
    <n v="85"/>
    <n v="69"/>
    <n v="7.8"/>
    <x v="2"/>
    <n v="86"/>
    <x v="0"/>
    <x v="3"/>
    <x v="2"/>
    <x v="2"/>
    <x v="0"/>
    <x v="1"/>
  </r>
  <r>
    <n v="32"/>
    <n v="120"/>
    <n v="90"/>
    <n v="7.8"/>
    <x v="0"/>
    <n v="70"/>
    <x v="1"/>
    <x v="1"/>
    <x v="1"/>
    <x v="2"/>
    <x v="1"/>
    <x v="0"/>
  </r>
  <r>
    <n v="42"/>
    <n v="120"/>
    <n v="80"/>
    <n v="7.8"/>
    <x v="0"/>
    <n v="70"/>
    <x v="1"/>
    <x v="2"/>
    <x v="0"/>
    <x v="2"/>
    <x v="1"/>
    <x v="0"/>
  </r>
  <r>
    <n v="23"/>
    <n v="90"/>
    <n v="60"/>
    <n v="7.8"/>
    <x v="0"/>
    <n v="76"/>
    <x v="1"/>
    <x v="0"/>
    <x v="2"/>
    <x v="2"/>
    <x v="1"/>
    <x v="0"/>
  </r>
  <r>
    <n v="19"/>
    <n v="120"/>
    <n v="80"/>
    <n v="7"/>
    <x v="0"/>
    <n v="70"/>
    <x v="2"/>
    <x v="3"/>
    <x v="0"/>
    <x v="2"/>
    <x v="1"/>
    <x v="0"/>
  </r>
  <r>
    <n v="15"/>
    <n v="76"/>
    <n v="49"/>
    <n v="7.8"/>
    <x v="0"/>
    <n v="77"/>
    <x v="1"/>
    <x v="3"/>
    <x v="4"/>
    <x v="2"/>
    <x v="1"/>
    <x v="0"/>
  </r>
  <r>
    <n v="20"/>
    <n v="120"/>
    <n v="75"/>
    <n v="7.8"/>
    <x v="0"/>
    <n v="70"/>
    <x v="1"/>
    <x v="3"/>
    <x v="0"/>
    <x v="2"/>
    <x v="1"/>
    <x v="0"/>
  </r>
  <r>
    <n v="48"/>
    <n v="120"/>
    <n v="80"/>
    <n v="11"/>
    <x v="0"/>
    <n v="88"/>
    <x v="0"/>
    <x v="2"/>
    <x v="0"/>
    <x v="1"/>
    <x v="0"/>
    <x v="0"/>
  </r>
  <r>
    <n v="15"/>
    <n v="120"/>
    <n v="80"/>
    <n v="7.8"/>
    <x v="0"/>
    <n v="70"/>
    <x v="1"/>
    <x v="3"/>
    <x v="0"/>
    <x v="2"/>
    <x v="1"/>
    <x v="0"/>
  </r>
  <r>
    <n v="25"/>
    <n v="120"/>
    <n v="80"/>
    <n v="7.8"/>
    <x v="0"/>
    <n v="66"/>
    <x v="1"/>
    <x v="0"/>
    <x v="0"/>
    <x v="2"/>
    <x v="2"/>
    <x v="0"/>
  </r>
  <r>
    <n v="22"/>
    <n v="100"/>
    <n v="65"/>
    <n v="7.8"/>
    <x v="0"/>
    <n v="80"/>
    <x v="1"/>
    <x v="0"/>
    <x v="2"/>
    <x v="2"/>
    <x v="1"/>
    <x v="0"/>
  </r>
  <r>
    <n v="12"/>
    <n v="120"/>
    <n v="95"/>
    <n v="7.8"/>
    <x v="0"/>
    <n v="60"/>
    <x v="1"/>
    <x v="3"/>
    <x v="1"/>
    <x v="2"/>
    <x v="2"/>
    <x v="0"/>
  </r>
  <r>
    <n v="35"/>
    <n v="100"/>
    <n v="70"/>
    <n v="7.8"/>
    <x v="0"/>
    <n v="60"/>
    <x v="1"/>
    <x v="1"/>
    <x v="2"/>
    <x v="2"/>
    <x v="2"/>
    <x v="0"/>
  </r>
  <r>
    <n v="19"/>
    <n v="120"/>
    <n v="85"/>
    <n v="7.8"/>
    <x v="0"/>
    <n v="60"/>
    <x v="2"/>
    <x v="3"/>
    <x v="0"/>
    <x v="2"/>
    <x v="2"/>
    <x v="0"/>
  </r>
  <r>
    <n v="60"/>
    <n v="90"/>
    <n v="65"/>
    <n v="6.8"/>
    <x v="0"/>
    <n v="77"/>
    <x v="2"/>
    <x v="4"/>
    <x v="2"/>
    <x v="2"/>
    <x v="1"/>
    <x v="0"/>
  </r>
  <r>
    <n v="55"/>
    <n v="120"/>
    <n v="90"/>
    <n v="6.8"/>
    <x v="0"/>
    <n v="66"/>
    <x v="2"/>
    <x v="4"/>
    <x v="1"/>
    <x v="2"/>
    <x v="2"/>
    <x v="0"/>
  </r>
  <r>
    <n v="25"/>
    <n v="120"/>
    <n v="80"/>
    <n v="6.8"/>
    <x v="0"/>
    <n v="66"/>
    <x v="2"/>
    <x v="0"/>
    <x v="0"/>
    <x v="2"/>
    <x v="2"/>
    <x v="0"/>
  </r>
  <r>
    <n v="22"/>
    <n v="100"/>
    <n v="65"/>
    <n v="6.8"/>
    <x v="0"/>
    <n v="88"/>
    <x v="1"/>
    <x v="0"/>
    <x v="2"/>
    <x v="2"/>
    <x v="0"/>
    <x v="0"/>
  </r>
  <r>
    <n v="12"/>
    <n v="120"/>
    <n v="95"/>
    <n v="6.8"/>
    <x v="0"/>
    <n v="60"/>
    <x v="2"/>
    <x v="3"/>
    <x v="1"/>
    <x v="2"/>
    <x v="2"/>
    <x v="0"/>
  </r>
  <r>
    <n v="35"/>
    <n v="100"/>
    <n v="70"/>
    <n v="6.8"/>
    <x v="0"/>
    <n v="60"/>
    <x v="2"/>
    <x v="1"/>
    <x v="2"/>
    <x v="2"/>
    <x v="2"/>
    <x v="0"/>
  </r>
  <r>
    <n v="19"/>
    <n v="120"/>
    <n v="90"/>
    <n v="6.8"/>
    <x v="0"/>
    <n v="60"/>
    <x v="2"/>
    <x v="3"/>
    <x v="1"/>
    <x v="2"/>
    <x v="2"/>
    <x v="0"/>
  </r>
  <r>
    <n v="60"/>
    <n v="90"/>
    <n v="65"/>
    <n v="6.8"/>
    <x v="0"/>
    <n v="77"/>
    <x v="2"/>
    <x v="4"/>
    <x v="2"/>
    <x v="2"/>
    <x v="1"/>
    <x v="0"/>
  </r>
  <r>
    <n v="55"/>
    <n v="120"/>
    <n v="90"/>
    <n v="6.8"/>
    <x v="0"/>
    <n v="78"/>
    <x v="1"/>
    <x v="4"/>
    <x v="1"/>
    <x v="2"/>
    <x v="1"/>
    <x v="0"/>
  </r>
  <r>
    <n v="50"/>
    <n v="130"/>
    <n v="80"/>
    <n v="16"/>
    <x v="2"/>
    <n v="76"/>
    <x v="2"/>
    <x v="2"/>
    <x v="0"/>
    <x v="0"/>
    <x v="1"/>
    <x v="1"/>
  </r>
  <r>
    <n v="27"/>
    <n v="120"/>
    <n v="90"/>
    <n v="6.8"/>
    <x v="2"/>
    <n v="68"/>
    <x v="2"/>
    <x v="0"/>
    <x v="1"/>
    <x v="2"/>
    <x v="2"/>
    <x v="1"/>
  </r>
  <r>
    <n v="60"/>
    <n v="140"/>
    <n v="90"/>
    <n v="12"/>
    <x v="0"/>
    <n v="77"/>
    <x v="0"/>
    <x v="4"/>
    <x v="1"/>
    <x v="0"/>
    <x v="1"/>
    <x v="0"/>
  </r>
  <r>
    <n v="55"/>
    <n v="100"/>
    <n v="70"/>
    <n v="6.8"/>
    <x v="3"/>
    <n v="80"/>
    <x v="2"/>
    <x v="4"/>
    <x v="2"/>
    <x v="2"/>
    <x v="1"/>
    <x v="1"/>
  </r>
  <r>
    <n v="60"/>
    <n v="140"/>
    <n v="80"/>
    <n v="16"/>
    <x v="0"/>
    <n v="66"/>
    <x v="0"/>
    <x v="4"/>
    <x v="1"/>
    <x v="0"/>
    <x v="2"/>
    <x v="0"/>
  </r>
  <r>
    <n v="12"/>
    <n v="120"/>
    <n v="90"/>
    <n v="6.8"/>
    <x v="0"/>
    <n v="80"/>
    <x v="2"/>
    <x v="3"/>
    <x v="1"/>
    <x v="2"/>
    <x v="1"/>
    <x v="0"/>
  </r>
  <r>
    <n v="17"/>
    <n v="140"/>
    <n v="100"/>
    <n v="6.8"/>
    <x v="4"/>
    <n v="80"/>
    <x v="0"/>
    <x v="3"/>
    <x v="3"/>
    <x v="2"/>
    <x v="1"/>
    <x v="1"/>
  </r>
  <r>
    <n v="60"/>
    <n v="120"/>
    <n v="80"/>
    <n v="6.8"/>
    <x v="0"/>
    <n v="77"/>
    <x v="2"/>
    <x v="4"/>
    <x v="0"/>
    <x v="2"/>
    <x v="1"/>
    <x v="0"/>
  </r>
  <r>
    <n v="22"/>
    <n v="100"/>
    <n v="65"/>
    <n v="6.8"/>
    <x v="0"/>
    <n v="88"/>
    <x v="1"/>
    <x v="0"/>
    <x v="2"/>
    <x v="2"/>
    <x v="0"/>
    <x v="0"/>
  </r>
  <r>
    <n v="36"/>
    <n v="140"/>
    <n v="100"/>
    <n v="6.8"/>
    <x v="2"/>
    <n v="76"/>
    <x v="0"/>
    <x v="1"/>
    <x v="3"/>
    <x v="2"/>
    <x v="1"/>
    <x v="1"/>
  </r>
  <r>
    <n v="22"/>
    <n v="90"/>
    <n v="60"/>
    <n v="6.8"/>
    <x v="0"/>
    <n v="77"/>
    <x v="1"/>
    <x v="0"/>
    <x v="2"/>
    <x v="2"/>
    <x v="1"/>
    <x v="0"/>
  </r>
  <r>
    <n v="25"/>
    <n v="120"/>
    <n v="100"/>
    <n v="6.8"/>
    <x v="0"/>
    <n v="60"/>
    <x v="2"/>
    <x v="0"/>
    <x v="3"/>
    <x v="2"/>
    <x v="2"/>
    <x v="0"/>
  </r>
  <r>
    <n v="35"/>
    <n v="100"/>
    <n v="60"/>
    <n v="15"/>
    <x v="0"/>
    <n v="80"/>
    <x v="0"/>
    <x v="1"/>
    <x v="2"/>
    <x v="0"/>
    <x v="1"/>
    <x v="0"/>
  </r>
  <r>
    <n v="40"/>
    <n v="140"/>
    <n v="100"/>
    <n v="13"/>
    <x v="3"/>
    <n v="66"/>
    <x v="0"/>
    <x v="1"/>
    <x v="3"/>
    <x v="0"/>
    <x v="2"/>
    <x v="1"/>
  </r>
  <r>
    <n v="27"/>
    <n v="120"/>
    <n v="70"/>
    <n v="6.8"/>
    <x v="0"/>
    <n v="77"/>
    <x v="1"/>
    <x v="0"/>
    <x v="0"/>
    <x v="2"/>
    <x v="1"/>
    <x v="0"/>
  </r>
  <r>
    <n v="36"/>
    <n v="140"/>
    <n v="100"/>
    <n v="6.8"/>
    <x v="2"/>
    <n v="76"/>
    <x v="0"/>
    <x v="1"/>
    <x v="3"/>
    <x v="2"/>
    <x v="1"/>
    <x v="1"/>
  </r>
  <r>
    <n v="22"/>
    <n v="90"/>
    <n v="60"/>
    <n v="6.8"/>
    <x v="0"/>
    <n v="77"/>
    <x v="2"/>
    <x v="0"/>
    <x v="2"/>
    <x v="2"/>
    <x v="1"/>
    <x v="0"/>
  </r>
  <r>
    <n v="25"/>
    <n v="120"/>
    <n v="100"/>
    <n v="6.8"/>
    <x v="0"/>
    <n v="60"/>
    <x v="1"/>
    <x v="0"/>
    <x v="3"/>
    <x v="2"/>
    <x v="2"/>
    <x v="0"/>
  </r>
  <r>
    <n v="35"/>
    <n v="100"/>
    <n v="60"/>
    <n v="15"/>
    <x v="0"/>
    <n v="80"/>
    <x v="0"/>
    <x v="1"/>
    <x v="2"/>
    <x v="0"/>
    <x v="1"/>
    <x v="0"/>
  </r>
  <r>
    <n v="40"/>
    <n v="140"/>
    <n v="100"/>
    <n v="13"/>
    <x v="3"/>
    <n v="66"/>
    <x v="0"/>
    <x v="1"/>
    <x v="3"/>
    <x v="0"/>
    <x v="2"/>
    <x v="1"/>
  </r>
  <r>
    <n v="27"/>
    <n v="120"/>
    <n v="70"/>
    <n v="6.8"/>
    <x v="0"/>
    <n v="77"/>
    <x v="1"/>
    <x v="0"/>
    <x v="0"/>
    <x v="2"/>
    <x v="1"/>
    <x v="0"/>
  </r>
  <r>
    <n v="27"/>
    <n v="120"/>
    <n v="70"/>
    <n v="6.8"/>
    <x v="0"/>
    <n v="77"/>
    <x v="1"/>
    <x v="0"/>
    <x v="0"/>
    <x v="2"/>
    <x v="1"/>
    <x v="0"/>
  </r>
  <r>
    <n v="65"/>
    <n v="130"/>
    <n v="80"/>
    <n v="15"/>
    <x v="0"/>
    <n v="86"/>
    <x v="0"/>
    <x v="4"/>
    <x v="0"/>
    <x v="0"/>
    <x v="0"/>
    <x v="0"/>
  </r>
  <r>
    <n v="35"/>
    <n v="140"/>
    <n v="80"/>
    <n v="13"/>
    <x v="0"/>
    <n v="70"/>
    <x v="0"/>
    <x v="1"/>
    <x v="1"/>
    <x v="0"/>
    <x v="1"/>
    <x v="0"/>
  </r>
  <r>
    <n v="29"/>
    <n v="90"/>
    <n v="70"/>
    <n v="10"/>
    <x v="0"/>
    <n v="80"/>
    <x v="0"/>
    <x v="0"/>
    <x v="2"/>
    <x v="1"/>
    <x v="1"/>
    <x v="0"/>
  </r>
  <r>
    <n v="30"/>
    <n v="120"/>
    <n v="80"/>
    <n v="6.8"/>
    <x v="0"/>
    <n v="70"/>
    <x v="2"/>
    <x v="0"/>
    <x v="0"/>
    <x v="2"/>
    <x v="1"/>
    <x v="0"/>
  </r>
  <r>
    <n v="35"/>
    <n v="120"/>
    <n v="60"/>
    <n v="6.1"/>
    <x v="0"/>
    <n v="76"/>
    <x v="2"/>
    <x v="1"/>
    <x v="0"/>
    <x v="2"/>
    <x v="1"/>
    <x v="0"/>
  </r>
  <r>
    <n v="23"/>
    <n v="140"/>
    <n v="90"/>
    <n v="6.8"/>
    <x v="0"/>
    <n v="70"/>
    <x v="0"/>
    <x v="0"/>
    <x v="1"/>
    <x v="2"/>
    <x v="1"/>
    <x v="0"/>
  </r>
  <r>
    <n v="23"/>
    <n v="130"/>
    <n v="70"/>
    <n v="6.8"/>
    <x v="0"/>
    <n v="78"/>
    <x v="2"/>
    <x v="0"/>
    <x v="0"/>
    <x v="2"/>
    <x v="1"/>
    <x v="0"/>
  </r>
  <r>
    <n v="35"/>
    <n v="85"/>
    <n v="60"/>
    <n v="11"/>
    <x v="2"/>
    <n v="86"/>
    <x v="0"/>
    <x v="1"/>
    <x v="2"/>
    <x v="1"/>
    <x v="0"/>
    <x v="1"/>
  </r>
  <r>
    <n v="32"/>
    <n v="120"/>
    <n v="90"/>
    <n v="6.8"/>
    <x v="0"/>
    <n v="70"/>
    <x v="1"/>
    <x v="1"/>
    <x v="1"/>
    <x v="2"/>
    <x v="1"/>
    <x v="0"/>
  </r>
  <r>
    <n v="43"/>
    <n v="130"/>
    <n v="80"/>
    <n v="18"/>
    <x v="0"/>
    <n v="70"/>
    <x v="2"/>
    <x v="2"/>
    <x v="0"/>
    <x v="0"/>
    <x v="1"/>
    <x v="0"/>
  </r>
  <r>
    <n v="23"/>
    <n v="99"/>
    <n v="60"/>
    <n v="6.8"/>
    <x v="0"/>
    <n v="76"/>
    <x v="1"/>
    <x v="0"/>
    <x v="2"/>
    <x v="2"/>
    <x v="1"/>
    <x v="0"/>
  </r>
  <r>
    <n v="19"/>
    <n v="120"/>
    <n v="80"/>
    <n v="7"/>
    <x v="0"/>
    <n v="70"/>
    <x v="2"/>
    <x v="3"/>
    <x v="0"/>
    <x v="2"/>
    <x v="1"/>
    <x v="0"/>
  </r>
  <r>
    <n v="15"/>
    <n v="76"/>
    <n v="49"/>
    <n v="6.8"/>
    <x v="0"/>
    <n v="77"/>
    <x v="1"/>
    <x v="3"/>
    <x v="4"/>
    <x v="2"/>
    <x v="1"/>
    <x v="0"/>
  </r>
  <r>
    <n v="30"/>
    <n v="120"/>
    <n v="75"/>
    <n v="6.8"/>
    <x v="0"/>
    <n v="70"/>
    <x v="2"/>
    <x v="0"/>
    <x v="0"/>
    <x v="2"/>
    <x v="1"/>
    <x v="0"/>
  </r>
  <r>
    <n v="48"/>
    <n v="120"/>
    <n v="80"/>
    <n v="11"/>
    <x v="0"/>
    <n v="88"/>
    <x v="0"/>
    <x v="2"/>
    <x v="0"/>
    <x v="1"/>
    <x v="0"/>
    <x v="0"/>
  </r>
  <r>
    <n v="15"/>
    <n v="120"/>
    <n v="80"/>
    <n v="6.8"/>
    <x v="0"/>
    <n v="70"/>
    <x v="1"/>
    <x v="3"/>
    <x v="0"/>
    <x v="2"/>
    <x v="1"/>
    <x v="0"/>
  </r>
  <r>
    <n v="48"/>
    <n v="140"/>
    <n v="90"/>
    <n v="15"/>
    <x v="0"/>
    <n v="90"/>
    <x v="0"/>
    <x v="2"/>
    <x v="1"/>
    <x v="0"/>
    <x v="0"/>
    <x v="0"/>
  </r>
  <r>
    <n v="25"/>
    <n v="140"/>
    <n v="100"/>
    <n v="6.8"/>
    <x v="0"/>
    <n v="80"/>
    <x v="0"/>
    <x v="0"/>
    <x v="3"/>
    <x v="2"/>
    <x v="1"/>
    <x v="0"/>
  </r>
  <r>
    <n v="29"/>
    <n v="100"/>
    <n v="70"/>
    <n v="6.8"/>
    <x v="0"/>
    <n v="80"/>
    <x v="1"/>
    <x v="0"/>
    <x v="2"/>
    <x v="2"/>
    <x v="1"/>
    <x v="0"/>
  </r>
  <r>
    <n v="32"/>
    <n v="120"/>
    <n v="80"/>
    <n v="6.8"/>
    <x v="0"/>
    <n v="70"/>
    <x v="2"/>
    <x v="1"/>
    <x v="0"/>
    <x v="2"/>
    <x v="1"/>
    <x v="0"/>
  </r>
  <r>
    <n v="35"/>
    <n v="120"/>
    <n v="60"/>
    <n v="6.1"/>
    <x v="0"/>
    <n v="76"/>
    <x v="1"/>
    <x v="1"/>
    <x v="0"/>
    <x v="2"/>
    <x v="1"/>
    <x v="0"/>
  </r>
  <r>
    <n v="23"/>
    <n v="140"/>
    <n v="90"/>
    <n v="6.8"/>
    <x v="0"/>
    <n v="70"/>
    <x v="0"/>
    <x v="0"/>
    <x v="1"/>
    <x v="2"/>
    <x v="1"/>
    <x v="0"/>
  </r>
  <r>
    <n v="23"/>
    <n v="130"/>
    <n v="70"/>
    <n v="6.8"/>
    <x v="0"/>
    <n v="78"/>
    <x v="2"/>
    <x v="0"/>
    <x v="0"/>
    <x v="2"/>
    <x v="1"/>
    <x v="0"/>
  </r>
  <r>
    <n v="34"/>
    <n v="85"/>
    <n v="60"/>
    <n v="11"/>
    <x v="2"/>
    <n v="86"/>
    <x v="0"/>
    <x v="1"/>
    <x v="2"/>
    <x v="1"/>
    <x v="0"/>
    <x v="1"/>
  </r>
  <r>
    <n v="32"/>
    <n v="120"/>
    <n v="90"/>
    <n v="6.8"/>
    <x v="0"/>
    <n v="70"/>
    <x v="1"/>
    <x v="1"/>
    <x v="1"/>
    <x v="2"/>
    <x v="1"/>
    <x v="0"/>
  </r>
  <r>
    <n v="42"/>
    <n v="130"/>
    <n v="80"/>
    <n v="18"/>
    <x v="0"/>
    <n v="70"/>
    <x v="2"/>
    <x v="2"/>
    <x v="0"/>
    <x v="0"/>
    <x v="1"/>
    <x v="0"/>
  </r>
  <r>
    <n v="23"/>
    <n v="90"/>
    <n v="60"/>
    <n v="6.8"/>
    <x v="0"/>
    <n v="76"/>
    <x v="1"/>
    <x v="0"/>
    <x v="2"/>
    <x v="2"/>
    <x v="1"/>
    <x v="0"/>
  </r>
  <r>
    <n v="19"/>
    <n v="120"/>
    <n v="80"/>
    <n v="7"/>
    <x v="0"/>
    <n v="70"/>
    <x v="2"/>
    <x v="3"/>
    <x v="0"/>
    <x v="2"/>
    <x v="1"/>
    <x v="0"/>
  </r>
  <r>
    <n v="15"/>
    <n v="76"/>
    <n v="49"/>
    <n v="6.8"/>
    <x v="0"/>
    <n v="77"/>
    <x v="1"/>
    <x v="3"/>
    <x v="4"/>
    <x v="2"/>
    <x v="1"/>
    <x v="0"/>
  </r>
  <r>
    <n v="20"/>
    <n v="120"/>
    <n v="75"/>
    <n v="6.8"/>
    <x v="0"/>
    <n v="70"/>
    <x v="1"/>
    <x v="3"/>
    <x v="0"/>
    <x v="2"/>
    <x v="1"/>
    <x v="0"/>
  </r>
  <r>
    <n v="48"/>
    <n v="120"/>
    <n v="80"/>
    <n v="11"/>
    <x v="0"/>
    <n v="88"/>
    <x v="1"/>
    <x v="2"/>
    <x v="0"/>
    <x v="1"/>
    <x v="0"/>
    <x v="0"/>
  </r>
  <r>
    <n v="15"/>
    <n v="120"/>
    <n v="80"/>
    <n v="6.8"/>
    <x v="0"/>
    <n v="70"/>
    <x v="1"/>
    <x v="3"/>
    <x v="0"/>
    <x v="2"/>
    <x v="1"/>
    <x v="0"/>
  </r>
  <r>
    <n v="50"/>
    <n v="140"/>
    <n v="90"/>
    <n v="15"/>
    <x v="0"/>
    <n v="90"/>
    <x v="0"/>
    <x v="2"/>
    <x v="1"/>
    <x v="0"/>
    <x v="0"/>
    <x v="0"/>
  </r>
  <r>
    <n v="25"/>
    <n v="140"/>
    <n v="100"/>
    <n v="6.8"/>
    <x v="0"/>
    <n v="80"/>
    <x v="0"/>
    <x v="0"/>
    <x v="3"/>
    <x v="2"/>
    <x v="1"/>
    <x v="0"/>
  </r>
  <r>
    <n v="30"/>
    <n v="120"/>
    <n v="80"/>
    <n v="6.8"/>
    <x v="3"/>
    <n v="76"/>
    <x v="1"/>
    <x v="0"/>
    <x v="0"/>
    <x v="2"/>
    <x v="1"/>
    <x v="1"/>
  </r>
  <r>
    <n v="31"/>
    <n v="110"/>
    <n v="90"/>
    <n v="6.8"/>
    <x v="1"/>
    <n v="70"/>
    <x v="2"/>
    <x v="1"/>
    <x v="1"/>
    <x v="2"/>
    <x v="1"/>
    <x v="1"/>
  </r>
  <r>
    <n v="42"/>
    <n v="140"/>
    <n v="100"/>
    <n v="18"/>
    <x v="0"/>
    <n v="90"/>
    <x v="0"/>
    <x v="2"/>
    <x v="3"/>
    <x v="0"/>
    <x v="0"/>
    <x v="0"/>
  </r>
  <r>
    <n v="18"/>
    <n v="120"/>
    <n v="80"/>
    <n v="6.8"/>
    <x v="2"/>
    <n v="76"/>
    <x v="1"/>
    <x v="3"/>
    <x v="0"/>
    <x v="2"/>
    <x v="1"/>
    <x v="1"/>
  </r>
  <r>
    <n v="32"/>
    <n v="140"/>
    <n v="100"/>
    <n v="7.9"/>
    <x v="0"/>
    <n v="78"/>
    <x v="0"/>
    <x v="1"/>
    <x v="3"/>
    <x v="2"/>
    <x v="1"/>
    <x v="0"/>
  </r>
  <r>
    <n v="17"/>
    <n v="90"/>
    <n v="60"/>
    <n v="7.9"/>
    <x v="3"/>
    <n v="76"/>
    <x v="1"/>
    <x v="3"/>
    <x v="2"/>
    <x v="2"/>
    <x v="1"/>
    <x v="1"/>
  </r>
  <r>
    <n v="19"/>
    <n v="120"/>
    <n v="80"/>
    <n v="7"/>
    <x v="0"/>
    <n v="70"/>
    <x v="2"/>
    <x v="3"/>
    <x v="0"/>
    <x v="2"/>
    <x v="1"/>
    <x v="0"/>
  </r>
  <r>
    <n v="15"/>
    <n v="76"/>
    <n v="49"/>
    <n v="7.9"/>
    <x v="0"/>
    <n v="77"/>
    <x v="1"/>
    <x v="3"/>
    <x v="4"/>
    <x v="2"/>
    <x v="1"/>
    <x v="0"/>
  </r>
  <r>
    <n v="19"/>
    <n v="120"/>
    <n v="75"/>
    <n v="7.9"/>
    <x v="0"/>
    <n v="70"/>
    <x v="1"/>
    <x v="3"/>
    <x v="0"/>
    <x v="2"/>
    <x v="1"/>
    <x v="0"/>
  </r>
  <r>
    <n v="48"/>
    <n v="120"/>
    <n v="80"/>
    <n v="11"/>
    <x v="0"/>
    <n v="88"/>
    <x v="1"/>
    <x v="2"/>
    <x v="0"/>
    <x v="1"/>
    <x v="0"/>
    <x v="0"/>
  </r>
  <r>
    <n v="15"/>
    <n v="120"/>
    <n v="80"/>
    <n v="7.9"/>
    <x v="0"/>
    <n v="70"/>
    <x v="1"/>
    <x v="3"/>
    <x v="0"/>
    <x v="2"/>
    <x v="1"/>
    <x v="0"/>
  </r>
  <r>
    <n v="25"/>
    <n v="120"/>
    <n v="80"/>
    <n v="7.9"/>
    <x v="0"/>
    <n v="66"/>
    <x v="2"/>
    <x v="0"/>
    <x v="0"/>
    <x v="2"/>
    <x v="2"/>
    <x v="0"/>
  </r>
  <r>
    <n v="22"/>
    <n v="100"/>
    <n v="65"/>
    <n v="7.9"/>
    <x v="0"/>
    <n v="80"/>
    <x v="1"/>
    <x v="0"/>
    <x v="2"/>
    <x v="2"/>
    <x v="1"/>
    <x v="0"/>
  </r>
  <r>
    <n v="50"/>
    <n v="140"/>
    <n v="95"/>
    <n v="17"/>
    <x v="0"/>
    <n v="60"/>
    <x v="0"/>
    <x v="2"/>
    <x v="1"/>
    <x v="0"/>
    <x v="2"/>
    <x v="0"/>
  </r>
  <r>
    <n v="35"/>
    <n v="100"/>
    <n v="70"/>
    <n v="7.9"/>
    <x v="0"/>
    <n v="60"/>
    <x v="1"/>
    <x v="1"/>
    <x v="2"/>
    <x v="2"/>
    <x v="2"/>
    <x v="0"/>
  </r>
  <r>
    <n v="19"/>
    <n v="120"/>
    <n v="85"/>
    <n v="7.9"/>
    <x v="0"/>
    <n v="60"/>
    <x v="1"/>
    <x v="3"/>
    <x v="0"/>
    <x v="2"/>
    <x v="2"/>
    <x v="0"/>
  </r>
  <r>
    <n v="60"/>
    <n v="90"/>
    <n v="65"/>
    <n v="7.9"/>
    <x v="0"/>
    <n v="77"/>
    <x v="1"/>
    <x v="4"/>
    <x v="2"/>
    <x v="2"/>
    <x v="1"/>
    <x v="0"/>
  </r>
  <r>
    <n v="38"/>
    <n v="135"/>
    <n v="60"/>
    <n v="7.9"/>
    <x v="3"/>
    <n v="86"/>
    <x v="0"/>
    <x v="1"/>
    <x v="0"/>
    <x v="2"/>
    <x v="0"/>
    <x v="1"/>
  </r>
  <r>
    <n v="50"/>
    <n v="120"/>
    <n v="80"/>
    <n v="7.9"/>
    <x v="0"/>
    <n v="70"/>
    <x v="1"/>
    <x v="2"/>
    <x v="0"/>
    <x v="2"/>
    <x v="1"/>
    <x v="0"/>
  </r>
  <r>
    <n v="39"/>
    <n v="90"/>
    <n v="70"/>
    <n v="9"/>
    <x v="0"/>
    <n v="80"/>
    <x v="0"/>
    <x v="1"/>
    <x v="2"/>
    <x v="1"/>
    <x v="1"/>
    <x v="0"/>
  </r>
  <r>
    <n v="30"/>
    <n v="140"/>
    <n v="100"/>
    <n v="15"/>
    <x v="0"/>
    <n v="70"/>
    <x v="0"/>
    <x v="0"/>
    <x v="3"/>
    <x v="0"/>
    <x v="1"/>
    <x v="0"/>
  </r>
  <r>
    <n v="31"/>
    <n v="120"/>
    <n v="60"/>
    <n v="6.1"/>
    <x v="0"/>
    <n v="76"/>
    <x v="2"/>
    <x v="1"/>
    <x v="0"/>
    <x v="2"/>
    <x v="1"/>
    <x v="0"/>
  </r>
  <r>
    <n v="23"/>
    <n v="120"/>
    <n v="90"/>
    <n v="7.9"/>
    <x v="0"/>
    <n v="70"/>
    <x v="2"/>
    <x v="0"/>
    <x v="1"/>
    <x v="2"/>
    <x v="1"/>
    <x v="0"/>
  </r>
  <r>
    <n v="29"/>
    <n v="130"/>
    <n v="70"/>
    <n v="7.9"/>
    <x v="0"/>
    <n v="78"/>
    <x v="2"/>
    <x v="0"/>
    <x v="0"/>
    <x v="2"/>
    <x v="1"/>
    <x v="0"/>
  </r>
  <r>
    <n v="17"/>
    <n v="85"/>
    <n v="60"/>
    <n v="7.9"/>
    <x v="2"/>
    <n v="86"/>
    <x v="1"/>
    <x v="3"/>
    <x v="2"/>
    <x v="2"/>
    <x v="0"/>
    <x v="1"/>
  </r>
  <r>
    <n v="32"/>
    <n v="120"/>
    <n v="90"/>
    <n v="7.9"/>
    <x v="0"/>
    <n v="70"/>
    <x v="1"/>
    <x v="1"/>
    <x v="1"/>
    <x v="2"/>
    <x v="1"/>
    <x v="0"/>
  </r>
  <r>
    <n v="42"/>
    <n v="120"/>
    <n v="80"/>
    <n v="7.9"/>
    <x v="0"/>
    <n v="70"/>
    <x v="1"/>
    <x v="2"/>
    <x v="0"/>
    <x v="2"/>
    <x v="1"/>
    <x v="0"/>
  </r>
  <r>
    <n v="23"/>
    <n v="90"/>
    <n v="60"/>
    <n v="7.9"/>
    <x v="0"/>
    <n v="76"/>
    <x v="1"/>
    <x v="0"/>
    <x v="2"/>
    <x v="2"/>
    <x v="1"/>
    <x v="0"/>
  </r>
  <r>
    <n v="19"/>
    <n v="120"/>
    <n v="80"/>
    <n v="7"/>
    <x v="0"/>
    <n v="70"/>
    <x v="1"/>
    <x v="3"/>
    <x v="0"/>
    <x v="2"/>
    <x v="1"/>
    <x v="0"/>
  </r>
  <r>
    <n v="15"/>
    <n v="76"/>
    <n v="49"/>
    <n v="7.9"/>
    <x v="0"/>
    <n v="77"/>
    <x v="1"/>
    <x v="3"/>
    <x v="4"/>
    <x v="2"/>
    <x v="1"/>
    <x v="0"/>
  </r>
  <r>
    <n v="16"/>
    <n v="120"/>
    <n v="75"/>
    <n v="7.9"/>
    <x v="0"/>
    <n v="7"/>
    <x v="1"/>
    <x v="3"/>
    <x v="0"/>
    <x v="2"/>
    <x v="2"/>
    <x v="0"/>
  </r>
  <r>
    <n v="48"/>
    <n v="120"/>
    <n v="80"/>
    <n v="11"/>
    <x v="0"/>
    <n v="88"/>
    <x v="2"/>
    <x v="2"/>
    <x v="0"/>
    <x v="1"/>
    <x v="0"/>
    <x v="0"/>
  </r>
  <r>
    <n v="15"/>
    <n v="120"/>
    <n v="80"/>
    <n v="7.9"/>
    <x v="0"/>
    <n v="70"/>
    <x v="1"/>
    <x v="3"/>
    <x v="0"/>
    <x v="2"/>
    <x v="1"/>
    <x v="0"/>
  </r>
  <r>
    <n v="63"/>
    <n v="140"/>
    <n v="90"/>
    <n v="15"/>
    <x v="0"/>
    <n v="90"/>
    <x v="0"/>
    <x v="4"/>
    <x v="1"/>
    <x v="0"/>
    <x v="0"/>
    <x v="0"/>
  </r>
  <r>
    <n v="25"/>
    <n v="140"/>
    <n v="100"/>
    <n v="7.9"/>
    <x v="0"/>
    <n v="80"/>
    <x v="0"/>
    <x v="0"/>
    <x v="3"/>
    <x v="2"/>
    <x v="1"/>
    <x v="0"/>
  </r>
  <r>
    <n v="30"/>
    <n v="120"/>
    <n v="80"/>
    <n v="7.9"/>
    <x v="3"/>
    <n v="76"/>
    <x v="0"/>
    <x v="0"/>
    <x v="0"/>
    <x v="2"/>
    <x v="1"/>
    <x v="1"/>
  </r>
  <r>
    <n v="17"/>
    <n v="70"/>
    <n v="50"/>
    <n v="7.9"/>
    <x v="0"/>
    <n v="70"/>
    <x v="1"/>
    <x v="3"/>
    <x v="4"/>
    <x v="2"/>
    <x v="1"/>
    <x v="0"/>
  </r>
  <r>
    <n v="55"/>
    <n v="140"/>
    <n v="100"/>
    <n v="18"/>
    <x v="0"/>
    <n v="90"/>
    <x v="0"/>
    <x v="4"/>
    <x v="3"/>
    <x v="0"/>
    <x v="0"/>
    <x v="0"/>
  </r>
  <r>
    <n v="18"/>
    <n v="120"/>
    <n v="80"/>
    <n v="7.9"/>
    <x v="2"/>
    <n v="76"/>
    <x v="2"/>
    <x v="3"/>
    <x v="0"/>
    <x v="2"/>
    <x v="1"/>
    <x v="1"/>
  </r>
  <r>
    <n v="32"/>
    <n v="140"/>
    <n v="100"/>
    <n v="7.9"/>
    <x v="0"/>
    <n v="78"/>
    <x v="0"/>
    <x v="1"/>
    <x v="3"/>
    <x v="2"/>
    <x v="1"/>
    <x v="0"/>
  </r>
  <r>
    <n v="17"/>
    <n v="90"/>
    <n v="60"/>
    <n v="7.5"/>
    <x v="3"/>
    <n v="76"/>
    <x v="1"/>
    <x v="3"/>
    <x v="2"/>
    <x v="2"/>
    <x v="1"/>
    <x v="1"/>
  </r>
  <r>
    <n v="17"/>
    <n v="90"/>
    <n v="63"/>
    <n v="7.5"/>
    <x v="3"/>
    <n v="70"/>
    <x v="1"/>
    <x v="3"/>
    <x v="2"/>
    <x v="2"/>
    <x v="1"/>
    <x v="1"/>
  </r>
  <r>
    <n v="25"/>
    <n v="120"/>
    <n v="90"/>
    <n v="7.5"/>
    <x v="3"/>
    <n v="80"/>
    <x v="1"/>
    <x v="0"/>
    <x v="1"/>
    <x v="2"/>
    <x v="1"/>
    <x v="1"/>
  </r>
  <r>
    <n v="17"/>
    <n v="120"/>
    <n v="80"/>
    <n v="7.5"/>
    <x v="2"/>
    <n v="76"/>
    <x v="1"/>
    <x v="3"/>
    <x v="0"/>
    <x v="2"/>
    <x v="1"/>
    <x v="1"/>
  </r>
  <r>
    <n v="19"/>
    <n v="90"/>
    <n v="65"/>
    <n v="7.5"/>
    <x v="3"/>
    <n v="70"/>
    <x v="1"/>
    <x v="3"/>
    <x v="2"/>
    <x v="2"/>
    <x v="1"/>
    <x v="1"/>
  </r>
  <r>
    <n v="15"/>
    <n v="80"/>
    <n v="60"/>
    <n v="7.5"/>
    <x v="0"/>
    <n v="80"/>
    <x v="1"/>
    <x v="3"/>
    <x v="2"/>
    <x v="2"/>
    <x v="1"/>
    <x v="0"/>
  </r>
  <r>
    <n v="60"/>
    <n v="90"/>
    <n v="65"/>
    <n v="7.5"/>
    <x v="0"/>
    <n v="77"/>
    <x v="1"/>
    <x v="4"/>
    <x v="2"/>
    <x v="2"/>
    <x v="1"/>
    <x v="0"/>
  </r>
  <r>
    <n v="18"/>
    <n v="85"/>
    <n v="60"/>
    <n v="7.5"/>
    <x v="3"/>
    <n v="86"/>
    <x v="2"/>
    <x v="3"/>
    <x v="2"/>
    <x v="2"/>
    <x v="0"/>
    <x v="1"/>
  </r>
  <r>
    <n v="50"/>
    <n v="120"/>
    <n v="80"/>
    <n v="7.5"/>
    <x v="0"/>
    <n v="70"/>
    <x v="1"/>
    <x v="2"/>
    <x v="0"/>
    <x v="2"/>
    <x v="1"/>
    <x v="0"/>
  </r>
  <r>
    <n v="19"/>
    <n v="90"/>
    <n v="70"/>
    <n v="7.5"/>
    <x v="0"/>
    <n v="80"/>
    <x v="1"/>
    <x v="3"/>
    <x v="2"/>
    <x v="2"/>
    <x v="1"/>
    <x v="0"/>
  </r>
  <r>
    <n v="30"/>
    <n v="140"/>
    <n v="100"/>
    <n v="15"/>
    <x v="0"/>
    <n v="70"/>
    <x v="0"/>
    <x v="0"/>
    <x v="3"/>
    <x v="0"/>
    <x v="1"/>
    <x v="0"/>
  </r>
  <r>
    <n v="31"/>
    <n v="120"/>
    <n v="60"/>
    <n v="6.1"/>
    <x v="0"/>
    <n v="76"/>
    <x v="1"/>
    <x v="1"/>
    <x v="0"/>
    <x v="2"/>
    <x v="1"/>
    <x v="0"/>
  </r>
  <r>
    <n v="23"/>
    <n v="120"/>
    <n v="90"/>
    <n v="7.5"/>
    <x v="0"/>
    <n v="70"/>
    <x v="1"/>
    <x v="0"/>
    <x v="1"/>
    <x v="2"/>
    <x v="1"/>
    <x v="0"/>
  </r>
  <r>
    <n v="29"/>
    <n v="130"/>
    <n v="70"/>
    <n v="7.5"/>
    <x v="0"/>
    <n v="78"/>
    <x v="2"/>
    <x v="0"/>
    <x v="0"/>
    <x v="2"/>
    <x v="1"/>
    <x v="0"/>
  </r>
  <r>
    <n v="17"/>
    <n v="85"/>
    <n v="60"/>
    <n v="7.5"/>
    <x v="2"/>
    <n v="86"/>
    <x v="1"/>
    <x v="3"/>
    <x v="2"/>
    <x v="2"/>
    <x v="0"/>
    <x v="1"/>
  </r>
  <r>
    <n v="32"/>
    <n v="120"/>
    <n v="90"/>
    <n v="7.5"/>
    <x v="0"/>
    <n v="70"/>
    <x v="1"/>
    <x v="1"/>
    <x v="1"/>
    <x v="2"/>
    <x v="1"/>
    <x v="0"/>
  </r>
  <r>
    <n v="42"/>
    <n v="120"/>
    <n v="80"/>
    <n v="7.5"/>
    <x v="0"/>
    <n v="70"/>
    <x v="1"/>
    <x v="2"/>
    <x v="0"/>
    <x v="2"/>
    <x v="1"/>
    <x v="0"/>
  </r>
  <r>
    <n v="42"/>
    <n v="90"/>
    <n v="60"/>
    <n v="7.5"/>
    <x v="0"/>
    <n v="76"/>
    <x v="1"/>
    <x v="2"/>
    <x v="2"/>
    <x v="2"/>
    <x v="1"/>
    <x v="0"/>
  </r>
  <r>
    <n v="19"/>
    <n v="120"/>
    <n v="80"/>
    <n v="7"/>
    <x v="0"/>
    <n v="70"/>
    <x v="1"/>
    <x v="3"/>
    <x v="0"/>
    <x v="2"/>
    <x v="1"/>
    <x v="0"/>
  </r>
  <r>
    <n v="15"/>
    <n v="78"/>
    <n v="49"/>
    <n v="7.5"/>
    <x v="0"/>
    <n v="77"/>
    <x v="1"/>
    <x v="3"/>
    <x v="4"/>
    <x v="2"/>
    <x v="1"/>
    <x v="0"/>
  </r>
  <r>
    <n v="23"/>
    <n v="120"/>
    <n v="75"/>
    <n v="8"/>
    <x v="0"/>
    <n v="70"/>
    <x v="2"/>
    <x v="0"/>
    <x v="0"/>
    <x v="1"/>
    <x v="1"/>
    <x v="0"/>
  </r>
  <r>
    <n v="48"/>
    <n v="120"/>
    <n v="80"/>
    <n v="11"/>
    <x v="0"/>
    <n v="88"/>
    <x v="0"/>
    <x v="2"/>
    <x v="0"/>
    <x v="1"/>
    <x v="0"/>
    <x v="0"/>
  </r>
  <r>
    <n v="15"/>
    <n v="120"/>
    <n v="80"/>
    <n v="7.5"/>
    <x v="0"/>
    <n v="70"/>
    <x v="2"/>
    <x v="3"/>
    <x v="0"/>
    <x v="2"/>
    <x v="1"/>
    <x v="0"/>
  </r>
  <r>
    <n v="49"/>
    <n v="140"/>
    <n v="90"/>
    <n v="15"/>
    <x v="0"/>
    <n v="90"/>
    <x v="0"/>
    <x v="2"/>
    <x v="1"/>
    <x v="0"/>
    <x v="0"/>
    <x v="0"/>
  </r>
  <r>
    <n v="25"/>
    <n v="140"/>
    <n v="100"/>
    <n v="7.5"/>
    <x v="0"/>
    <n v="80"/>
    <x v="0"/>
    <x v="0"/>
    <x v="3"/>
    <x v="2"/>
    <x v="1"/>
    <x v="0"/>
  </r>
  <r>
    <n v="30"/>
    <n v="120"/>
    <n v="80"/>
    <n v="7.5"/>
    <x v="3"/>
    <n v="76"/>
    <x v="2"/>
    <x v="0"/>
    <x v="0"/>
    <x v="2"/>
    <x v="1"/>
    <x v="1"/>
  </r>
  <r>
    <n v="16"/>
    <n v="70"/>
    <n v="50"/>
    <n v="7.5"/>
    <x v="1"/>
    <n v="70"/>
    <x v="1"/>
    <x v="3"/>
    <x v="4"/>
    <x v="2"/>
    <x v="1"/>
    <x v="1"/>
  </r>
  <r>
    <n v="16"/>
    <n v="100"/>
    <n v="70"/>
    <n v="7.5"/>
    <x v="0"/>
    <n v="80"/>
    <x v="1"/>
    <x v="3"/>
    <x v="2"/>
    <x v="2"/>
    <x v="1"/>
    <x v="0"/>
  </r>
  <r>
    <n v="19"/>
    <n v="120"/>
    <n v="75"/>
    <n v="7.5"/>
    <x v="0"/>
    <n v="66"/>
    <x v="1"/>
    <x v="3"/>
    <x v="0"/>
    <x v="2"/>
    <x v="2"/>
    <x v="0"/>
  </r>
  <r>
    <n v="40"/>
    <n v="160"/>
    <n v="100"/>
    <n v="19"/>
    <x v="0"/>
    <n v="77"/>
    <x v="0"/>
    <x v="1"/>
    <x v="3"/>
    <x v="0"/>
    <x v="1"/>
    <x v="0"/>
  </r>
  <r>
    <n v="32"/>
    <n v="140"/>
    <n v="90"/>
    <n v="18"/>
    <x v="0"/>
    <n v="88"/>
    <x v="0"/>
    <x v="1"/>
    <x v="1"/>
    <x v="0"/>
    <x v="0"/>
    <x v="0"/>
  </r>
  <r>
    <n v="22"/>
    <n v="100"/>
    <n v="65"/>
    <n v="7.5"/>
    <x v="0"/>
    <n v="70"/>
    <x v="1"/>
    <x v="0"/>
    <x v="2"/>
    <x v="2"/>
    <x v="1"/>
    <x v="0"/>
  </r>
  <r>
    <n v="49"/>
    <n v="120"/>
    <n v="90"/>
    <n v="7.5"/>
    <x v="0"/>
    <n v="77"/>
    <x v="1"/>
    <x v="2"/>
    <x v="1"/>
    <x v="2"/>
    <x v="1"/>
    <x v="0"/>
  </r>
  <r>
    <n v="28"/>
    <n v="90"/>
    <n v="60"/>
    <n v="7.5"/>
    <x v="0"/>
    <n v="82"/>
    <x v="1"/>
    <x v="0"/>
    <x v="2"/>
    <x v="2"/>
    <x v="1"/>
    <x v="0"/>
  </r>
  <r>
    <n v="12"/>
    <n v="90"/>
    <n v="60"/>
    <n v="7.5"/>
    <x v="2"/>
    <n v="66"/>
    <x v="1"/>
    <x v="3"/>
    <x v="2"/>
    <x v="2"/>
    <x v="2"/>
    <x v="1"/>
  </r>
  <r>
    <n v="20"/>
    <n v="100"/>
    <n v="90"/>
    <n v="7.5"/>
    <x v="0"/>
    <n v="88"/>
    <x v="1"/>
    <x v="3"/>
    <x v="1"/>
    <x v="2"/>
    <x v="0"/>
    <x v="0"/>
  </r>
  <r>
    <n v="23"/>
    <n v="100"/>
    <n v="85"/>
    <n v="7.5"/>
    <x v="0"/>
    <n v="66"/>
    <x v="1"/>
    <x v="0"/>
    <x v="0"/>
    <x v="2"/>
    <x v="2"/>
    <x v="0"/>
  </r>
  <r>
    <n v="22"/>
    <n v="120"/>
    <n v="90"/>
    <n v="7.5"/>
    <x v="0"/>
    <n v="82"/>
    <x v="1"/>
    <x v="0"/>
    <x v="1"/>
    <x v="2"/>
    <x v="1"/>
    <x v="0"/>
  </r>
  <r>
    <n v="21"/>
    <n v="120"/>
    <n v="80"/>
    <n v="7.5"/>
    <x v="0"/>
    <n v="77"/>
    <x v="1"/>
    <x v="0"/>
    <x v="0"/>
    <x v="2"/>
    <x v="1"/>
    <x v="0"/>
  </r>
  <r>
    <n v="35"/>
    <n v="140"/>
    <n v="100"/>
    <n v="7.5"/>
    <x v="0"/>
    <n v="66"/>
    <x v="0"/>
    <x v="1"/>
    <x v="3"/>
    <x v="2"/>
    <x v="2"/>
    <x v="0"/>
  </r>
  <r>
    <n v="54"/>
    <n v="140"/>
    <n v="100"/>
    <n v="15"/>
    <x v="0"/>
    <n v="66"/>
    <x v="0"/>
    <x v="4"/>
    <x v="3"/>
    <x v="0"/>
    <x v="2"/>
    <x v="0"/>
  </r>
  <r>
    <n v="40"/>
    <n v="120"/>
    <n v="95"/>
    <n v="11"/>
    <x v="0"/>
    <n v="80"/>
    <x v="2"/>
    <x v="1"/>
    <x v="1"/>
    <x v="1"/>
    <x v="1"/>
    <x v="0"/>
  </r>
  <r>
    <n v="21"/>
    <n v="75"/>
    <n v="50"/>
    <n v="7.5"/>
    <x v="0"/>
    <n v="60"/>
    <x v="1"/>
    <x v="0"/>
    <x v="4"/>
    <x v="2"/>
    <x v="2"/>
    <x v="0"/>
  </r>
  <r>
    <n v="12"/>
    <n v="90"/>
    <n v="60"/>
    <n v="7.5"/>
    <x v="2"/>
    <n v="60"/>
    <x v="1"/>
    <x v="3"/>
    <x v="2"/>
    <x v="2"/>
    <x v="2"/>
    <x v="1"/>
  </r>
  <r>
    <n v="60"/>
    <n v="120"/>
    <n v="85"/>
    <n v="15"/>
    <x v="0"/>
    <n v="60"/>
    <x v="2"/>
    <x v="4"/>
    <x v="0"/>
    <x v="0"/>
    <x v="2"/>
    <x v="0"/>
  </r>
  <r>
    <n v="55"/>
    <n v="140"/>
    <n v="95"/>
    <n v="19"/>
    <x v="0"/>
    <n v="77"/>
    <x v="0"/>
    <x v="4"/>
    <x v="1"/>
    <x v="0"/>
    <x v="1"/>
    <x v="0"/>
  </r>
  <r>
    <n v="50"/>
    <n v="130"/>
    <n v="100"/>
    <n v="16"/>
    <x v="0"/>
    <n v="75"/>
    <x v="2"/>
    <x v="2"/>
    <x v="3"/>
    <x v="0"/>
    <x v="1"/>
    <x v="0"/>
  </r>
  <r>
    <n v="60"/>
    <n v="120"/>
    <n v="80"/>
    <n v="7.5"/>
    <x v="0"/>
    <n v="75"/>
    <x v="1"/>
    <x v="4"/>
    <x v="0"/>
    <x v="2"/>
    <x v="1"/>
    <x v="0"/>
  </r>
  <r>
    <n v="55"/>
    <n v="100"/>
    <n v="65"/>
    <n v="7.5"/>
    <x v="0"/>
    <n v="66"/>
    <x v="1"/>
    <x v="4"/>
    <x v="2"/>
    <x v="2"/>
    <x v="2"/>
    <x v="0"/>
  </r>
  <r>
    <n v="45"/>
    <n v="120"/>
    <n v="95"/>
    <n v="7.5"/>
    <x v="0"/>
    <n v="66"/>
    <x v="1"/>
    <x v="2"/>
    <x v="1"/>
    <x v="2"/>
    <x v="2"/>
    <x v="0"/>
  </r>
  <r>
    <n v="35"/>
    <n v="100"/>
    <n v="70"/>
    <n v="7.5"/>
    <x v="0"/>
    <n v="66"/>
    <x v="1"/>
    <x v="1"/>
    <x v="2"/>
    <x v="2"/>
    <x v="2"/>
    <x v="0"/>
  </r>
  <r>
    <n v="22"/>
    <n v="120"/>
    <n v="85"/>
    <n v="7.5"/>
    <x v="0"/>
    <n v="88"/>
    <x v="1"/>
    <x v="0"/>
    <x v="0"/>
    <x v="2"/>
    <x v="0"/>
    <x v="0"/>
  </r>
  <r>
    <n v="13"/>
    <n v="90"/>
    <n v="65"/>
    <n v="7.5"/>
    <x v="3"/>
    <n v="80"/>
    <x v="1"/>
    <x v="3"/>
    <x v="2"/>
    <x v="2"/>
    <x v="1"/>
    <x v="1"/>
  </r>
  <r>
    <n v="23"/>
    <n v="120"/>
    <n v="90"/>
    <n v="7.5"/>
    <x v="0"/>
    <n v="60"/>
    <x v="1"/>
    <x v="0"/>
    <x v="1"/>
    <x v="2"/>
    <x v="2"/>
    <x v="0"/>
  </r>
  <r>
    <n v="17"/>
    <n v="90"/>
    <n v="65"/>
    <n v="7.5"/>
    <x v="4"/>
    <n v="67"/>
    <x v="1"/>
    <x v="3"/>
    <x v="2"/>
    <x v="2"/>
    <x v="2"/>
    <x v="1"/>
  </r>
  <r>
    <n v="28"/>
    <n v="115"/>
    <n v="60"/>
    <n v="7.5"/>
    <x v="3"/>
    <n v="86"/>
    <x v="2"/>
    <x v="0"/>
    <x v="2"/>
    <x v="2"/>
    <x v="0"/>
    <x v="1"/>
  </r>
  <r>
    <n v="59"/>
    <n v="120"/>
    <n v="80"/>
    <n v="7.5"/>
    <x v="0"/>
    <n v="70"/>
    <x v="1"/>
    <x v="4"/>
    <x v="0"/>
    <x v="2"/>
    <x v="1"/>
    <x v="0"/>
  </r>
  <r>
    <n v="29"/>
    <n v="120"/>
    <n v="70"/>
    <n v="9"/>
    <x v="0"/>
    <n v="80"/>
    <x v="0"/>
    <x v="0"/>
    <x v="0"/>
    <x v="1"/>
    <x v="1"/>
    <x v="0"/>
  </r>
  <r>
    <n v="23"/>
    <n v="120"/>
    <n v="80"/>
    <n v="7.5"/>
    <x v="0"/>
    <n v="70"/>
    <x v="1"/>
    <x v="0"/>
    <x v="0"/>
    <x v="2"/>
    <x v="1"/>
    <x v="0"/>
  </r>
  <r>
    <n v="31"/>
    <n v="120"/>
    <n v="60"/>
    <n v="6.1"/>
    <x v="0"/>
    <n v="76"/>
    <x v="2"/>
    <x v="1"/>
    <x v="0"/>
    <x v="2"/>
    <x v="1"/>
    <x v="0"/>
  </r>
  <r>
    <n v="23"/>
    <n v="120"/>
    <n v="80"/>
    <n v="7.5"/>
    <x v="0"/>
    <n v="70"/>
    <x v="2"/>
    <x v="0"/>
    <x v="0"/>
    <x v="2"/>
    <x v="1"/>
    <x v="0"/>
  </r>
  <r>
    <n v="29"/>
    <n v="130"/>
    <n v="70"/>
    <n v="7.5"/>
    <x v="0"/>
    <n v="78"/>
    <x v="2"/>
    <x v="0"/>
    <x v="0"/>
    <x v="2"/>
    <x v="1"/>
    <x v="0"/>
  </r>
  <r>
    <n v="17"/>
    <n v="85"/>
    <n v="60"/>
    <n v="7.5"/>
    <x v="2"/>
    <n v="86"/>
    <x v="1"/>
    <x v="3"/>
    <x v="2"/>
    <x v="2"/>
    <x v="0"/>
    <x v="1"/>
  </r>
  <r>
    <n v="32"/>
    <n v="120"/>
    <n v="90"/>
    <n v="7.5"/>
    <x v="0"/>
    <n v="70"/>
    <x v="1"/>
    <x v="1"/>
    <x v="1"/>
    <x v="2"/>
    <x v="1"/>
    <x v="0"/>
  </r>
  <r>
    <n v="42"/>
    <n v="120"/>
    <n v="80"/>
    <n v="7.5"/>
    <x v="0"/>
    <n v="70"/>
    <x v="1"/>
    <x v="2"/>
    <x v="0"/>
    <x v="2"/>
    <x v="1"/>
    <x v="0"/>
  </r>
  <r>
    <n v="23"/>
    <n v="90"/>
    <n v="60"/>
    <n v="7.5"/>
    <x v="0"/>
    <n v="76"/>
    <x v="1"/>
    <x v="0"/>
    <x v="2"/>
    <x v="2"/>
    <x v="1"/>
    <x v="0"/>
  </r>
  <r>
    <n v="19"/>
    <n v="120"/>
    <n v="80"/>
    <n v="7"/>
    <x v="0"/>
    <n v="70"/>
    <x v="1"/>
    <x v="3"/>
    <x v="0"/>
    <x v="2"/>
    <x v="1"/>
    <x v="0"/>
  </r>
  <r>
    <n v="15"/>
    <n v="78"/>
    <n v="49"/>
    <n v="7.5"/>
    <x v="0"/>
    <n v="77"/>
    <x v="1"/>
    <x v="3"/>
    <x v="4"/>
    <x v="2"/>
    <x v="1"/>
    <x v="0"/>
  </r>
  <r>
    <n v="20"/>
    <n v="120"/>
    <n v="75"/>
    <n v="7.5"/>
    <x v="0"/>
    <n v="70"/>
    <x v="1"/>
    <x v="3"/>
    <x v="0"/>
    <x v="2"/>
    <x v="1"/>
    <x v="0"/>
  </r>
  <r>
    <n v="48"/>
    <n v="120"/>
    <n v="80"/>
    <n v="11"/>
    <x v="0"/>
    <n v="88"/>
    <x v="0"/>
    <x v="2"/>
    <x v="0"/>
    <x v="1"/>
    <x v="0"/>
    <x v="0"/>
  </r>
  <r>
    <n v="15"/>
    <n v="120"/>
    <n v="80"/>
    <n v="7.5"/>
    <x v="0"/>
    <n v="70"/>
    <x v="1"/>
    <x v="3"/>
    <x v="0"/>
    <x v="2"/>
    <x v="1"/>
    <x v="0"/>
  </r>
  <r>
    <n v="24"/>
    <n v="120"/>
    <n v="80"/>
    <n v="7.5"/>
    <x v="0"/>
    <n v="66"/>
    <x v="1"/>
    <x v="0"/>
    <x v="0"/>
    <x v="2"/>
    <x v="2"/>
    <x v="0"/>
  </r>
  <r>
    <n v="16"/>
    <n v="100"/>
    <n v="70"/>
    <n v="7.5"/>
    <x v="0"/>
    <n v="80"/>
    <x v="1"/>
    <x v="3"/>
    <x v="2"/>
    <x v="2"/>
    <x v="1"/>
    <x v="0"/>
  </r>
  <r>
    <n v="19"/>
    <n v="120"/>
    <n v="76"/>
    <n v="7.5"/>
    <x v="0"/>
    <n v="66"/>
    <x v="1"/>
    <x v="3"/>
    <x v="0"/>
    <x v="2"/>
    <x v="2"/>
    <x v="0"/>
  </r>
  <r>
    <n v="40"/>
    <n v="160"/>
    <n v="100"/>
    <n v="19"/>
    <x v="0"/>
    <n v="77"/>
    <x v="0"/>
    <x v="1"/>
    <x v="3"/>
    <x v="0"/>
    <x v="1"/>
    <x v="0"/>
  </r>
  <r>
    <n v="32"/>
    <n v="140"/>
    <n v="90"/>
    <n v="18"/>
    <x v="0"/>
    <n v="88"/>
    <x v="0"/>
    <x v="1"/>
    <x v="1"/>
    <x v="0"/>
    <x v="0"/>
    <x v="0"/>
  </r>
  <r>
    <n v="22"/>
    <n v="100"/>
    <n v="65"/>
    <n v="7.5"/>
    <x v="0"/>
    <n v="70"/>
    <x v="2"/>
    <x v="0"/>
    <x v="2"/>
    <x v="2"/>
    <x v="1"/>
    <x v="0"/>
  </r>
  <r>
    <n v="49"/>
    <n v="120"/>
    <n v="90"/>
    <n v="7.5"/>
    <x v="0"/>
    <n v="77"/>
    <x v="2"/>
    <x v="2"/>
    <x v="1"/>
    <x v="2"/>
    <x v="1"/>
    <x v="0"/>
  </r>
  <r>
    <n v="28"/>
    <n v="90"/>
    <n v="60"/>
    <n v="7.5"/>
    <x v="0"/>
    <n v="82"/>
    <x v="2"/>
    <x v="0"/>
    <x v="2"/>
    <x v="2"/>
    <x v="1"/>
    <x v="0"/>
  </r>
  <r>
    <n v="12"/>
    <n v="90"/>
    <n v="60"/>
    <n v="7.5"/>
    <x v="2"/>
    <n v="66"/>
    <x v="2"/>
    <x v="3"/>
    <x v="2"/>
    <x v="2"/>
    <x v="2"/>
    <x v="1"/>
  </r>
  <r>
    <n v="20"/>
    <n v="100"/>
    <n v="90"/>
    <n v="7.5"/>
    <x v="0"/>
    <n v="88"/>
    <x v="2"/>
    <x v="3"/>
    <x v="1"/>
    <x v="2"/>
    <x v="0"/>
    <x v="0"/>
  </r>
  <r>
    <n v="23"/>
    <n v="100"/>
    <n v="85"/>
    <n v="7.5"/>
    <x v="0"/>
    <n v="66"/>
    <x v="2"/>
    <x v="0"/>
    <x v="0"/>
    <x v="2"/>
    <x v="2"/>
    <x v="0"/>
  </r>
  <r>
    <n v="22"/>
    <n v="120"/>
    <n v="90"/>
    <n v="7.5"/>
    <x v="0"/>
    <n v="82"/>
    <x v="2"/>
    <x v="0"/>
    <x v="1"/>
    <x v="2"/>
    <x v="1"/>
    <x v="0"/>
  </r>
  <r>
    <n v="21"/>
    <n v="120"/>
    <n v="80"/>
    <n v="7.5"/>
    <x v="0"/>
    <n v="77"/>
    <x v="2"/>
    <x v="0"/>
    <x v="0"/>
    <x v="2"/>
    <x v="1"/>
    <x v="0"/>
  </r>
  <r>
    <n v="35"/>
    <n v="140"/>
    <n v="100"/>
    <n v="7.5"/>
    <x v="0"/>
    <n v="66"/>
    <x v="0"/>
    <x v="1"/>
    <x v="3"/>
    <x v="2"/>
    <x v="2"/>
    <x v="0"/>
  </r>
  <r>
    <n v="54"/>
    <n v="140"/>
    <n v="100"/>
    <n v="15"/>
    <x v="0"/>
    <n v="66"/>
    <x v="0"/>
    <x v="4"/>
    <x v="3"/>
    <x v="0"/>
    <x v="2"/>
    <x v="0"/>
  </r>
  <r>
    <n v="40"/>
    <n v="120"/>
    <n v="95"/>
    <n v="11"/>
    <x v="0"/>
    <n v="80"/>
    <x v="0"/>
    <x v="1"/>
    <x v="1"/>
    <x v="1"/>
    <x v="1"/>
    <x v="0"/>
  </r>
  <r>
    <n v="21"/>
    <n v="75"/>
    <n v="50"/>
    <n v="7.5"/>
    <x v="0"/>
    <n v="60"/>
    <x v="1"/>
    <x v="0"/>
    <x v="4"/>
    <x v="2"/>
    <x v="2"/>
    <x v="0"/>
  </r>
  <r>
    <n v="22"/>
    <n v="90"/>
    <n v="60"/>
    <n v="7.5"/>
    <x v="2"/>
    <n v="60"/>
    <x v="0"/>
    <x v="0"/>
    <x v="2"/>
    <x v="2"/>
    <x v="2"/>
    <x v="1"/>
  </r>
  <r>
    <n v="40"/>
    <n v="120"/>
    <n v="85"/>
    <n v="15"/>
    <x v="0"/>
    <n v="60"/>
    <x v="0"/>
    <x v="1"/>
    <x v="0"/>
    <x v="0"/>
    <x v="2"/>
    <x v="0"/>
  </r>
  <r>
    <n v="55"/>
    <n v="140"/>
    <n v="95"/>
    <n v="19"/>
    <x v="0"/>
    <n v="77"/>
    <x v="0"/>
    <x v="4"/>
    <x v="1"/>
    <x v="0"/>
    <x v="1"/>
    <x v="0"/>
  </r>
  <r>
    <n v="50"/>
    <n v="130"/>
    <n v="100"/>
    <n v="16"/>
    <x v="0"/>
    <n v="75"/>
    <x v="0"/>
    <x v="2"/>
    <x v="3"/>
    <x v="0"/>
    <x v="1"/>
    <x v="0"/>
  </r>
  <r>
    <n v="60"/>
    <n v="120"/>
    <n v="80"/>
    <n v="7.5"/>
    <x v="0"/>
    <n v="75"/>
    <x v="2"/>
    <x v="4"/>
    <x v="0"/>
    <x v="2"/>
    <x v="1"/>
    <x v="0"/>
  </r>
  <r>
    <n v="40"/>
    <n v="120"/>
    <n v="85"/>
    <n v="15"/>
    <x v="0"/>
    <n v="60"/>
    <x v="0"/>
    <x v="1"/>
    <x v="0"/>
    <x v="0"/>
    <x v="2"/>
    <x v="0"/>
  </r>
  <r>
    <n v="55"/>
    <n v="140"/>
    <n v="95"/>
    <n v="19"/>
    <x v="0"/>
    <n v="77"/>
    <x v="0"/>
    <x v="4"/>
    <x v="1"/>
    <x v="0"/>
    <x v="1"/>
    <x v="0"/>
  </r>
  <r>
    <n v="50"/>
    <n v="130"/>
    <n v="100"/>
    <n v="16"/>
    <x v="0"/>
    <n v="75"/>
    <x v="2"/>
    <x v="2"/>
    <x v="3"/>
    <x v="0"/>
    <x v="1"/>
    <x v="0"/>
  </r>
  <r>
    <n v="41"/>
    <n v="120"/>
    <n v="80"/>
    <n v="7.5"/>
    <x v="0"/>
    <n v="75"/>
    <x v="1"/>
    <x v="2"/>
    <x v="0"/>
    <x v="2"/>
    <x v="1"/>
    <x v="0"/>
  </r>
  <r>
    <n v="55"/>
    <n v="100"/>
    <n v="65"/>
    <n v="7.5"/>
    <x v="0"/>
    <n v="66"/>
    <x v="1"/>
    <x v="4"/>
    <x v="2"/>
    <x v="2"/>
    <x v="2"/>
    <x v="0"/>
  </r>
  <r>
    <n v="45"/>
    <n v="120"/>
    <n v="95"/>
    <n v="7.5"/>
    <x v="0"/>
    <n v="66"/>
    <x v="1"/>
    <x v="2"/>
    <x v="1"/>
    <x v="2"/>
    <x v="2"/>
    <x v="0"/>
  </r>
  <r>
    <n v="35"/>
    <n v="100"/>
    <n v="70"/>
    <n v="7.5"/>
    <x v="0"/>
    <n v="66"/>
    <x v="1"/>
    <x v="1"/>
    <x v="2"/>
    <x v="2"/>
    <x v="2"/>
    <x v="0"/>
  </r>
  <r>
    <n v="22"/>
    <n v="120"/>
    <n v="85"/>
    <n v="7.5"/>
    <x v="0"/>
    <n v="88"/>
    <x v="1"/>
    <x v="0"/>
    <x v="0"/>
    <x v="2"/>
    <x v="0"/>
    <x v="0"/>
  </r>
  <r>
    <n v="13"/>
    <n v="90"/>
    <n v="65"/>
    <n v="7.5"/>
    <x v="3"/>
    <n v="80"/>
    <x v="0"/>
    <x v="3"/>
    <x v="2"/>
    <x v="2"/>
    <x v="1"/>
    <x v="1"/>
  </r>
  <r>
    <n v="23"/>
    <n v="120"/>
    <n v="90"/>
    <n v="7.5"/>
    <x v="0"/>
    <n v="60"/>
    <x v="1"/>
    <x v="0"/>
    <x v="1"/>
    <x v="2"/>
    <x v="2"/>
    <x v="0"/>
  </r>
  <r>
    <n v="17"/>
    <n v="90"/>
    <n v="65"/>
    <n v="7.5"/>
    <x v="4"/>
    <n v="67"/>
    <x v="2"/>
    <x v="3"/>
    <x v="2"/>
    <x v="2"/>
    <x v="2"/>
    <x v="1"/>
  </r>
  <r>
    <n v="27"/>
    <n v="135"/>
    <n v="60"/>
    <n v="7.5"/>
    <x v="3"/>
    <n v="86"/>
    <x v="0"/>
    <x v="0"/>
    <x v="0"/>
    <x v="2"/>
    <x v="0"/>
    <x v="1"/>
  </r>
  <r>
    <n v="50"/>
    <n v="120"/>
    <n v="80"/>
    <n v="15"/>
    <x v="0"/>
    <n v="70"/>
    <x v="0"/>
    <x v="2"/>
    <x v="0"/>
    <x v="0"/>
    <x v="1"/>
    <x v="0"/>
  </r>
  <r>
    <n v="34"/>
    <n v="110"/>
    <n v="70"/>
    <n v="7"/>
    <x v="0"/>
    <n v="80"/>
    <x v="0"/>
    <x v="1"/>
    <x v="2"/>
    <x v="2"/>
    <x v="1"/>
    <x v="0"/>
  </r>
  <r>
    <n v="32"/>
    <n v="120"/>
    <n v="80"/>
    <n v="7.5"/>
    <x v="0"/>
    <n v="70"/>
    <x v="1"/>
    <x v="1"/>
    <x v="0"/>
    <x v="2"/>
    <x v="1"/>
    <x v="0"/>
  </r>
  <r>
    <n v="31"/>
    <n v="120"/>
    <n v="60"/>
    <n v="6.1"/>
    <x v="0"/>
    <n v="76"/>
    <x v="1"/>
    <x v="1"/>
    <x v="0"/>
    <x v="2"/>
    <x v="1"/>
    <x v="0"/>
  </r>
  <r>
    <n v="23"/>
    <n v="120"/>
    <n v="90"/>
    <n v="7.5"/>
    <x v="0"/>
    <n v="70"/>
    <x v="1"/>
    <x v="0"/>
    <x v="1"/>
    <x v="2"/>
    <x v="1"/>
    <x v="0"/>
  </r>
  <r>
    <n v="29"/>
    <n v="130"/>
    <n v="70"/>
    <n v="7.5"/>
    <x v="0"/>
    <n v="78"/>
    <x v="2"/>
    <x v="0"/>
    <x v="0"/>
    <x v="2"/>
    <x v="1"/>
    <x v="0"/>
  </r>
  <r>
    <n v="17"/>
    <n v="85"/>
    <n v="60"/>
    <n v="7.5"/>
    <x v="3"/>
    <n v="86"/>
    <x v="0"/>
    <x v="3"/>
    <x v="2"/>
    <x v="2"/>
    <x v="0"/>
    <x v="1"/>
  </r>
  <r>
    <n v="32"/>
    <n v="120"/>
    <n v="90"/>
    <n v="7.5"/>
    <x v="0"/>
    <n v="70"/>
    <x v="1"/>
    <x v="1"/>
    <x v="1"/>
    <x v="2"/>
    <x v="1"/>
    <x v="0"/>
  </r>
  <r>
    <n v="42"/>
    <n v="120"/>
    <n v="80"/>
    <n v="7.5"/>
    <x v="0"/>
    <n v="70"/>
    <x v="1"/>
    <x v="2"/>
    <x v="0"/>
    <x v="2"/>
    <x v="1"/>
    <x v="0"/>
  </r>
  <r>
    <n v="23"/>
    <n v="90"/>
    <n v="60"/>
    <n v="7.5"/>
    <x v="0"/>
    <n v="76"/>
    <x v="1"/>
    <x v="0"/>
    <x v="2"/>
    <x v="2"/>
    <x v="1"/>
    <x v="0"/>
  </r>
  <r>
    <n v="19"/>
    <n v="120"/>
    <n v="80"/>
    <n v="7"/>
    <x v="0"/>
    <n v="70"/>
    <x v="2"/>
    <x v="3"/>
    <x v="0"/>
    <x v="2"/>
    <x v="1"/>
    <x v="0"/>
  </r>
  <r>
    <n v="15"/>
    <n v="76"/>
    <n v="49"/>
    <n v="7.5"/>
    <x v="0"/>
    <n v="77"/>
    <x v="1"/>
    <x v="3"/>
    <x v="4"/>
    <x v="2"/>
    <x v="1"/>
    <x v="0"/>
  </r>
  <r>
    <n v="20"/>
    <n v="120"/>
    <n v="76"/>
    <n v="7.5"/>
    <x v="0"/>
    <n v="70"/>
    <x v="1"/>
    <x v="3"/>
    <x v="0"/>
    <x v="2"/>
    <x v="1"/>
    <x v="0"/>
  </r>
  <r>
    <n v="48"/>
    <n v="120"/>
    <n v="80"/>
    <n v="11"/>
    <x v="0"/>
    <n v="88"/>
    <x v="0"/>
    <x v="2"/>
    <x v="0"/>
    <x v="1"/>
    <x v="0"/>
    <x v="0"/>
  </r>
  <r>
    <n v="15"/>
    <n v="120"/>
    <n v="80"/>
    <n v="7.5"/>
    <x v="0"/>
    <n v="70"/>
    <x v="1"/>
    <x v="3"/>
    <x v="0"/>
    <x v="2"/>
    <x v="1"/>
    <x v="0"/>
  </r>
  <r>
    <n v="24"/>
    <n v="120"/>
    <n v="80"/>
    <n v="7.5"/>
    <x v="0"/>
    <n v="66"/>
    <x v="1"/>
    <x v="0"/>
    <x v="0"/>
    <x v="2"/>
    <x v="2"/>
    <x v="0"/>
  </r>
  <r>
    <n v="22"/>
    <n v="100"/>
    <n v="65"/>
    <n v="12"/>
    <x v="0"/>
    <n v="80"/>
    <x v="0"/>
    <x v="0"/>
    <x v="2"/>
    <x v="0"/>
    <x v="1"/>
    <x v="0"/>
  </r>
  <r>
    <n v="50"/>
    <n v="140"/>
    <n v="95"/>
    <n v="17"/>
    <x v="0"/>
    <n v="60"/>
    <x v="0"/>
    <x v="2"/>
    <x v="1"/>
    <x v="0"/>
    <x v="2"/>
    <x v="0"/>
  </r>
  <r>
    <n v="35"/>
    <n v="100"/>
    <n v="70"/>
    <n v="11"/>
    <x v="0"/>
    <n v="60"/>
    <x v="0"/>
    <x v="1"/>
    <x v="2"/>
    <x v="1"/>
    <x v="2"/>
    <x v="0"/>
  </r>
  <r>
    <n v="19"/>
    <n v="120"/>
    <n v="85"/>
    <n v="9"/>
    <x v="0"/>
    <n v="60"/>
    <x v="2"/>
    <x v="3"/>
    <x v="0"/>
    <x v="1"/>
    <x v="2"/>
    <x v="0"/>
  </r>
  <r>
    <n v="30"/>
    <n v="90"/>
    <n v="65"/>
    <n v="8"/>
    <x v="0"/>
    <n v="77"/>
    <x v="2"/>
    <x v="0"/>
    <x v="2"/>
    <x v="1"/>
    <x v="1"/>
    <x v="0"/>
  </r>
  <r>
    <n v="28"/>
    <n v="85"/>
    <n v="60"/>
    <n v="9"/>
    <x v="3"/>
    <n v="86"/>
    <x v="2"/>
    <x v="0"/>
    <x v="2"/>
    <x v="1"/>
    <x v="0"/>
    <x v="1"/>
  </r>
  <r>
    <n v="50"/>
    <n v="130"/>
    <n v="80"/>
    <n v="15"/>
    <x v="0"/>
    <n v="86"/>
    <x v="0"/>
    <x v="2"/>
    <x v="0"/>
    <x v="0"/>
    <x v="0"/>
    <x v="0"/>
  </r>
  <r>
    <n v="35"/>
    <n v="140"/>
    <n v="90"/>
    <n v="13"/>
    <x v="0"/>
    <n v="70"/>
    <x v="0"/>
    <x v="1"/>
    <x v="1"/>
    <x v="0"/>
    <x v="1"/>
    <x v="0"/>
  </r>
  <r>
    <n v="29"/>
    <n v="90"/>
    <n v="70"/>
    <n v="11"/>
    <x v="1"/>
    <n v="80"/>
    <x v="0"/>
    <x v="0"/>
    <x v="2"/>
    <x v="1"/>
    <x v="1"/>
    <x v="1"/>
  </r>
  <r>
    <n v="19"/>
    <n v="120"/>
    <n v="60"/>
    <n v="7"/>
    <x v="5"/>
    <n v="70"/>
    <x v="1"/>
    <x v="3"/>
    <x v="0"/>
    <x v="2"/>
    <x v="1"/>
    <x v="0"/>
  </r>
  <r>
    <n v="46"/>
    <n v="140"/>
    <n v="100"/>
    <n v="12"/>
    <x v="6"/>
    <n v="90"/>
    <x v="0"/>
    <x v="2"/>
    <x v="3"/>
    <x v="0"/>
    <x v="0"/>
    <x v="0"/>
  </r>
  <r>
    <n v="28"/>
    <n v="95"/>
    <n v="60"/>
    <n v="10"/>
    <x v="3"/>
    <n v="86"/>
    <x v="0"/>
    <x v="0"/>
    <x v="2"/>
    <x v="1"/>
    <x v="0"/>
    <x v="1"/>
  </r>
  <r>
    <n v="50"/>
    <n v="120"/>
    <n v="80"/>
    <n v="7"/>
    <x v="0"/>
    <n v="70"/>
    <x v="2"/>
    <x v="2"/>
    <x v="0"/>
    <x v="2"/>
    <x v="1"/>
    <x v="0"/>
  </r>
  <r>
    <n v="39"/>
    <n v="110"/>
    <n v="70"/>
    <n v="7.9"/>
    <x v="0"/>
    <n v="80"/>
    <x v="2"/>
    <x v="1"/>
    <x v="2"/>
    <x v="2"/>
    <x v="1"/>
    <x v="0"/>
  </r>
  <r>
    <n v="25"/>
    <n v="140"/>
    <n v="100"/>
    <n v="15"/>
    <x v="7"/>
    <n v="70"/>
    <x v="0"/>
    <x v="0"/>
    <x v="3"/>
    <x v="0"/>
    <x v="1"/>
    <x v="0"/>
  </r>
  <r>
    <n v="31"/>
    <n v="120"/>
    <n v="60"/>
    <n v="6.1"/>
    <x v="0"/>
    <n v="76"/>
    <x v="1"/>
    <x v="1"/>
    <x v="0"/>
    <x v="2"/>
    <x v="1"/>
    <x v="0"/>
  </r>
  <r>
    <n v="23"/>
    <n v="120"/>
    <n v="85"/>
    <n v="8"/>
    <x v="0"/>
    <n v="70"/>
    <x v="1"/>
    <x v="0"/>
    <x v="0"/>
    <x v="1"/>
    <x v="1"/>
    <x v="0"/>
  </r>
  <r>
    <n v="29"/>
    <n v="130"/>
    <n v="70"/>
    <n v="8"/>
    <x v="0"/>
    <n v="78"/>
    <x v="2"/>
    <x v="0"/>
    <x v="0"/>
    <x v="1"/>
    <x v="1"/>
    <x v="0"/>
  </r>
  <r>
    <n v="17"/>
    <n v="90"/>
    <n v="60"/>
    <n v="9"/>
    <x v="2"/>
    <n v="86"/>
    <x v="2"/>
    <x v="3"/>
    <x v="2"/>
    <x v="1"/>
    <x v="0"/>
    <x v="1"/>
  </r>
  <r>
    <n v="32"/>
    <n v="120"/>
    <n v="90"/>
    <n v="7"/>
    <x v="1"/>
    <n v="70"/>
    <x v="2"/>
    <x v="1"/>
    <x v="1"/>
    <x v="2"/>
    <x v="1"/>
    <x v="1"/>
  </r>
  <r>
    <n v="42"/>
    <n v="120"/>
    <n v="90"/>
    <n v="9"/>
    <x v="0"/>
    <n v="70"/>
    <x v="2"/>
    <x v="2"/>
    <x v="1"/>
    <x v="1"/>
    <x v="1"/>
    <x v="0"/>
  </r>
  <r>
    <n v="23"/>
    <n v="90"/>
    <n v="60"/>
    <n v="6.7"/>
    <x v="0"/>
    <n v="76"/>
    <x v="1"/>
    <x v="0"/>
    <x v="2"/>
    <x v="2"/>
    <x v="1"/>
    <x v="0"/>
  </r>
  <r>
    <n v="19"/>
    <n v="120"/>
    <n v="80"/>
    <n v="7"/>
    <x v="0"/>
    <n v="70"/>
    <x v="1"/>
    <x v="3"/>
    <x v="0"/>
    <x v="2"/>
    <x v="1"/>
    <x v="0"/>
  </r>
  <r>
    <n v="15"/>
    <n v="76"/>
    <n v="68"/>
    <n v="7"/>
    <x v="0"/>
    <n v="77"/>
    <x v="1"/>
    <x v="3"/>
    <x v="2"/>
    <x v="2"/>
    <x v="1"/>
    <x v="0"/>
  </r>
  <r>
    <n v="34"/>
    <n v="120"/>
    <n v="75"/>
    <n v="8"/>
    <x v="0"/>
    <n v="70"/>
    <x v="1"/>
    <x v="1"/>
    <x v="0"/>
    <x v="1"/>
    <x v="1"/>
    <x v="0"/>
  </r>
  <r>
    <n v="48"/>
    <n v="120"/>
    <n v="80"/>
    <n v="11"/>
    <x v="0"/>
    <n v="88"/>
    <x v="0"/>
    <x v="2"/>
    <x v="0"/>
    <x v="1"/>
    <x v="0"/>
    <x v="0"/>
  </r>
  <r>
    <n v="15"/>
    <n v="120"/>
    <n v="80"/>
    <n v="6.6"/>
    <x v="6"/>
    <n v="70"/>
    <x v="1"/>
    <x v="3"/>
    <x v="0"/>
    <x v="2"/>
    <x v="1"/>
    <x v="0"/>
  </r>
  <r>
    <n v="27"/>
    <n v="140"/>
    <n v="90"/>
    <n v="15"/>
    <x v="0"/>
    <n v="90"/>
    <x v="0"/>
    <x v="0"/>
    <x v="1"/>
    <x v="0"/>
    <x v="0"/>
    <x v="0"/>
  </r>
  <r>
    <n v="25"/>
    <n v="140"/>
    <n v="100"/>
    <n v="12"/>
    <x v="6"/>
    <n v="80"/>
    <x v="0"/>
    <x v="0"/>
    <x v="3"/>
    <x v="0"/>
    <x v="1"/>
    <x v="0"/>
  </r>
  <r>
    <n v="36"/>
    <n v="120"/>
    <n v="90"/>
    <n v="7"/>
    <x v="0"/>
    <n v="82"/>
    <x v="2"/>
    <x v="1"/>
    <x v="1"/>
    <x v="2"/>
    <x v="1"/>
    <x v="0"/>
  </r>
  <r>
    <n v="30"/>
    <n v="120"/>
    <n v="80"/>
    <n v="9"/>
    <x v="3"/>
    <n v="76"/>
    <x v="2"/>
    <x v="0"/>
    <x v="0"/>
    <x v="1"/>
    <x v="1"/>
    <x v="1"/>
  </r>
  <r>
    <n v="15"/>
    <n v="70"/>
    <n v="50"/>
    <n v="6"/>
    <x v="0"/>
    <n v="70"/>
    <x v="2"/>
    <x v="3"/>
    <x v="4"/>
    <x v="2"/>
    <x v="1"/>
    <x v="0"/>
  </r>
  <r>
    <n v="40"/>
    <n v="120"/>
    <n v="95"/>
    <n v="7"/>
    <x v="0"/>
    <n v="70"/>
    <x v="0"/>
    <x v="1"/>
    <x v="1"/>
    <x v="2"/>
    <x v="1"/>
    <x v="0"/>
  </r>
  <r>
    <n v="15"/>
    <n v="90"/>
    <n v="60"/>
    <n v="6"/>
    <x v="0"/>
    <n v="80"/>
    <x v="1"/>
    <x v="3"/>
    <x v="2"/>
    <x v="2"/>
    <x v="1"/>
    <x v="0"/>
  </r>
  <r>
    <n v="21"/>
    <n v="90"/>
    <n v="50"/>
    <n v="6.9"/>
    <x v="0"/>
    <n v="60"/>
    <x v="1"/>
    <x v="0"/>
    <x v="2"/>
    <x v="2"/>
    <x v="2"/>
    <x v="0"/>
  </r>
  <r>
    <n v="15"/>
    <n v="90"/>
    <n v="49"/>
    <n v="6"/>
    <x v="0"/>
    <n v="77"/>
    <x v="1"/>
    <x v="3"/>
    <x v="2"/>
    <x v="2"/>
    <x v="1"/>
    <x v="0"/>
  </r>
  <r>
    <n v="21"/>
    <n v="90"/>
    <n v="50"/>
    <n v="6.5"/>
    <x v="0"/>
    <n v="60"/>
    <x v="1"/>
    <x v="0"/>
    <x v="2"/>
    <x v="2"/>
    <x v="2"/>
    <x v="0"/>
  </r>
  <r>
    <n v="15"/>
    <n v="90"/>
    <n v="49"/>
    <n v="6"/>
    <x v="0"/>
    <n v="77"/>
    <x v="1"/>
    <x v="3"/>
    <x v="2"/>
    <x v="2"/>
    <x v="1"/>
    <x v="0"/>
  </r>
  <r>
    <n v="15"/>
    <n v="90"/>
    <n v="49"/>
    <n v="6.7"/>
    <x v="6"/>
    <n v="77"/>
    <x v="1"/>
    <x v="3"/>
    <x v="2"/>
    <x v="2"/>
    <x v="1"/>
    <x v="0"/>
  </r>
  <r>
    <n v="15"/>
    <n v="90"/>
    <n v="49"/>
    <n v="6"/>
    <x v="6"/>
    <n v="77"/>
    <x v="1"/>
    <x v="3"/>
    <x v="2"/>
    <x v="2"/>
    <x v="1"/>
    <x v="0"/>
  </r>
  <r>
    <n v="10"/>
    <n v="100"/>
    <n v="50"/>
    <n v="6"/>
    <x v="6"/>
    <n v="70"/>
    <x v="2"/>
    <x v="3"/>
    <x v="2"/>
    <x v="2"/>
    <x v="1"/>
    <x v="0"/>
  </r>
  <r>
    <n v="15"/>
    <n v="100"/>
    <n v="49"/>
    <n v="6.8"/>
    <x v="6"/>
    <n v="77"/>
    <x v="1"/>
    <x v="3"/>
    <x v="2"/>
    <x v="2"/>
    <x v="1"/>
    <x v="0"/>
  </r>
  <r>
    <n v="15"/>
    <n v="100"/>
    <n v="49"/>
    <n v="6"/>
    <x v="6"/>
    <n v="77"/>
    <x v="1"/>
    <x v="3"/>
    <x v="2"/>
    <x v="2"/>
    <x v="1"/>
    <x v="0"/>
  </r>
  <r>
    <n v="12"/>
    <n v="100"/>
    <n v="50"/>
    <n v="6.4"/>
    <x v="0"/>
    <n v="70"/>
    <x v="2"/>
    <x v="3"/>
    <x v="2"/>
    <x v="2"/>
    <x v="1"/>
    <x v="0"/>
  </r>
  <r>
    <n v="15"/>
    <n v="100"/>
    <n v="60"/>
    <n v="6"/>
    <x v="0"/>
    <n v="80"/>
    <x v="1"/>
    <x v="3"/>
    <x v="2"/>
    <x v="2"/>
    <x v="1"/>
    <x v="0"/>
  </r>
  <r>
    <n v="35"/>
    <n v="140"/>
    <n v="90"/>
    <n v="13"/>
    <x v="0"/>
    <n v="70"/>
    <x v="0"/>
    <x v="1"/>
    <x v="1"/>
    <x v="0"/>
    <x v="1"/>
    <x v="0"/>
  </r>
  <r>
    <n v="29"/>
    <n v="90"/>
    <n v="70"/>
    <n v="8"/>
    <x v="1"/>
    <n v="80"/>
    <x v="0"/>
    <x v="0"/>
    <x v="2"/>
    <x v="1"/>
    <x v="1"/>
    <x v="1"/>
  </r>
  <r>
    <n v="30"/>
    <n v="140"/>
    <n v="85"/>
    <n v="7"/>
    <x v="0"/>
    <n v="70"/>
    <x v="0"/>
    <x v="0"/>
    <x v="1"/>
    <x v="2"/>
    <x v="1"/>
    <x v="0"/>
  </r>
  <r>
    <n v="23"/>
    <n v="140"/>
    <n v="80"/>
    <n v="7.01"/>
    <x v="0"/>
    <n v="70"/>
    <x v="0"/>
    <x v="0"/>
    <x v="1"/>
    <x v="2"/>
    <x v="1"/>
    <x v="0"/>
  </r>
  <r>
    <n v="35"/>
    <n v="85"/>
    <n v="60"/>
    <n v="11"/>
    <x v="2"/>
    <n v="86"/>
    <x v="0"/>
    <x v="1"/>
    <x v="2"/>
    <x v="1"/>
    <x v="0"/>
    <x v="1"/>
  </r>
  <r>
    <n v="42"/>
    <n v="130"/>
    <n v="80"/>
    <n v="18"/>
    <x v="0"/>
    <n v="70"/>
    <x v="0"/>
    <x v="2"/>
    <x v="0"/>
    <x v="0"/>
    <x v="1"/>
    <x v="0"/>
  </r>
  <r>
    <n v="50"/>
    <n v="140"/>
    <n v="90"/>
    <n v="15"/>
    <x v="0"/>
    <n v="90"/>
    <x v="0"/>
    <x v="2"/>
    <x v="1"/>
    <x v="0"/>
    <x v="0"/>
    <x v="0"/>
  </r>
  <r>
    <n v="25"/>
    <n v="140"/>
    <n v="100"/>
    <n v="7.01"/>
    <x v="0"/>
    <n v="80"/>
    <x v="0"/>
    <x v="0"/>
    <x v="3"/>
    <x v="2"/>
    <x v="1"/>
    <x v="0"/>
  </r>
  <r>
    <n v="40"/>
    <n v="140"/>
    <n v="100"/>
    <n v="18"/>
    <x v="0"/>
    <n v="90"/>
    <x v="0"/>
    <x v="1"/>
    <x v="3"/>
    <x v="0"/>
    <x v="0"/>
    <x v="0"/>
  </r>
  <r>
    <n v="32"/>
    <n v="140"/>
    <n v="100"/>
    <n v="6.9"/>
    <x v="0"/>
    <n v="78"/>
    <x v="0"/>
    <x v="1"/>
    <x v="3"/>
    <x v="2"/>
    <x v="1"/>
    <x v="0"/>
  </r>
  <r>
    <n v="14"/>
    <n v="90"/>
    <n v="65"/>
    <n v="7"/>
    <x v="3"/>
    <n v="70"/>
    <x v="0"/>
    <x v="3"/>
    <x v="2"/>
    <x v="2"/>
    <x v="1"/>
    <x v="1"/>
  </r>
  <r>
    <n v="37"/>
    <n v="120"/>
    <n v="90"/>
    <n v="11"/>
    <x v="0"/>
    <n v="88"/>
    <x v="0"/>
    <x v="1"/>
    <x v="1"/>
    <x v="1"/>
    <x v="0"/>
    <x v="0"/>
  </r>
  <r>
    <n v="17"/>
    <n v="110"/>
    <n v="75"/>
    <n v="12"/>
    <x v="3"/>
    <n v="76"/>
    <x v="0"/>
    <x v="3"/>
    <x v="2"/>
    <x v="0"/>
    <x v="1"/>
    <x v="1"/>
  </r>
  <r>
    <n v="40"/>
    <n v="120"/>
    <n v="90"/>
    <n v="12"/>
    <x v="0"/>
    <n v="80"/>
    <x v="0"/>
    <x v="1"/>
    <x v="1"/>
    <x v="0"/>
    <x v="1"/>
    <x v="0"/>
  </r>
  <r>
    <n v="40"/>
    <n v="160"/>
    <n v="100"/>
    <n v="19"/>
    <x v="0"/>
    <n v="77"/>
    <x v="0"/>
    <x v="1"/>
    <x v="3"/>
    <x v="0"/>
    <x v="1"/>
    <x v="0"/>
  </r>
  <r>
    <n v="20"/>
    <n v="120"/>
    <n v="76"/>
    <n v="7.5"/>
    <x v="0"/>
    <n v="70"/>
    <x v="1"/>
    <x v="3"/>
    <x v="0"/>
    <x v="2"/>
    <x v="1"/>
    <x v="0"/>
  </r>
  <r>
    <n v="15"/>
    <n v="120"/>
    <n v="80"/>
    <n v="7.5"/>
    <x v="0"/>
    <n v="70"/>
    <x v="1"/>
    <x v="3"/>
    <x v="0"/>
    <x v="2"/>
    <x v="1"/>
    <x v="0"/>
  </r>
  <r>
    <n v="24"/>
    <n v="120"/>
    <n v="80"/>
    <n v="7.5"/>
    <x v="0"/>
    <n v="66"/>
    <x v="1"/>
    <x v="0"/>
    <x v="0"/>
    <x v="2"/>
    <x v="2"/>
    <x v="0"/>
  </r>
  <r>
    <n v="19"/>
    <n v="120"/>
    <n v="60"/>
    <n v="7"/>
    <x v="5"/>
    <n v="70"/>
    <x v="1"/>
    <x v="3"/>
    <x v="0"/>
    <x v="2"/>
    <x v="1"/>
    <x v="0"/>
  </r>
  <r>
    <n v="31"/>
    <n v="120"/>
    <n v="60"/>
    <n v="6.1"/>
    <x v="0"/>
    <n v="76"/>
    <x v="1"/>
    <x v="1"/>
    <x v="0"/>
    <x v="2"/>
    <x v="1"/>
    <x v="0"/>
  </r>
  <r>
    <n v="23"/>
    <n v="120"/>
    <n v="85"/>
    <n v="8"/>
    <x v="0"/>
    <n v="70"/>
    <x v="1"/>
    <x v="0"/>
    <x v="0"/>
    <x v="1"/>
    <x v="1"/>
    <x v="0"/>
  </r>
  <r>
    <n v="23"/>
    <n v="90"/>
    <n v="60"/>
    <n v="6.7"/>
    <x v="0"/>
    <n v="76"/>
    <x v="1"/>
    <x v="0"/>
    <x v="2"/>
    <x v="2"/>
    <x v="1"/>
    <x v="0"/>
  </r>
  <r>
    <n v="19"/>
    <n v="120"/>
    <n v="80"/>
    <n v="7"/>
    <x v="0"/>
    <n v="70"/>
    <x v="1"/>
    <x v="3"/>
    <x v="0"/>
    <x v="2"/>
    <x v="1"/>
    <x v="0"/>
  </r>
  <r>
    <n v="15"/>
    <n v="76"/>
    <n v="68"/>
    <n v="7"/>
    <x v="0"/>
    <n v="77"/>
    <x v="1"/>
    <x v="3"/>
    <x v="2"/>
    <x v="2"/>
    <x v="1"/>
    <x v="0"/>
  </r>
  <r>
    <n v="34"/>
    <n v="120"/>
    <n v="75"/>
    <n v="8"/>
    <x v="0"/>
    <n v="70"/>
    <x v="1"/>
    <x v="1"/>
    <x v="0"/>
    <x v="1"/>
    <x v="1"/>
    <x v="0"/>
  </r>
  <r>
    <n v="15"/>
    <n v="120"/>
    <n v="80"/>
    <n v="6.6"/>
    <x v="6"/>
    <n v="70"/>
    <x v="1"/>
    <x v="3"/>
    <x v="0"/>
    <x v="2"/>
    <x v="1"/>
    <x v="0"/>
  </r>
  <r>
    <n v="15"/>
    <n v="90"/>
    <n v="60"/>
    <n v="6"/>
    <x v="0"/>
    <n v="80"/>
    <x v="1"/>
    <x v="3"/>
    <x v="2"/>
    <x v="2"/>
    <x v="1"/>
    <x v="0"/>
  </r>
  <r>
    <n v="21"/>
    <n v="90"/>
    <n v="50"/>
    <n v="6.9"/>
    <x v="0"/>
    <n v="60"/>
    <x v="1"/>
    <x v="0"/>
    <x v="2"/>
    <x v="2"/>
    <x v="2"/>
    <x v="0"/>
  </r>
  <r>
    <n v="15"/>
    <n v="100"/>
    <n v="49"/>
    <n v="7.6"/>
    <x v="0"/>
    <n v="77"/>
    <x v="1"/>
    <x v="3"/>
    <x v="2"/>
    <x v="2"/>
    <x v="1"/>
    <x v="0"/>
  </r>
  <r>
    <n v="12"/>
    <n v="100"/>
    <n v="50"/>
    <n v="6"/>
    <x v="0"/>
    <n v="70"/>
    <x v="2"/>
    <x v="3"/>
    <x v="2"/>
    <x v="2"/>
    <x v="1"/>
    <x v="0"/>
  </r>
  <r>
    <n v="21"/>
    <n v="100"/>
    <n v="50"/>
    <n v="6.8"/>
    <x v="0"/>
    <n v="60"/>
    <x v="1"/>
    <x v="0"/>
    <x v="2"/>
    <x v="2"/>
    <x v="2"/>
    <x v="0"/>
  </r>
  <r>
    <n v="23"/>
    <n v="130"/>
    <n v="70"/>
    <n v="7.01"/>
    <x v="0"/>
    <n v="78"/>
    <x v="2"/>
    <x v="0"/>
    <x v="0"/>
    <x v="2"/>
    <x v="1"/>
    <x v="0"/>
  </r>
  <r>
    <n v="32"/>
    <n v="120"/>
    <n v="90"/>
    <n v="6.9"/>
    <x v="0"/>
    <n v="70"/>
    <x v="2"/>
    <x v="1"/>
    <x v="1"/>
    <x v="2"/>
    <x v="1"/>
    <x v="0"/>
  </r>
  <r>
    <n v="19"/>
    <n v="120"/>
    <n v="80"/>
    <n v="7"/>
    <x v="0"/>
    <n v="70"/>
    <x v="2"/>
    <x v="3"/>
    <x v="0"/>
    <x v="2"/>
    <x v="1"/>
    <x v="0"/>
  </r>
  <r>
    <n v="20"/>
    <n v="120"/>
    <n v="75"/>
    <n v="7.01"/>
    <x v="1"/>
    <n v="70"/>
    <x v="2"/>
    <x v="3"/>
    <x v="0"/>
    <x v="2"/>
    <x v="1"/>
    <x v="1"/>
  </r>
  <r>
    <n v="48"/>
    <n v="120"/>
    <n v="80"/>
    <n v="11"/>
    <x v="0"/>
    <n v="88"/>
    <x v="2"/>
    <x v="2"/>
    <x v="0"/>
    <x v="1"/>
    <x v="0"/>
    <x v="0"/>
  </r>
  <r>
    <n v="30"/>
    <n v="120"/>
    <n v="80"/>
    <n v="6.9"/>
    <x v="3"/>
    <n v="76"/>
    <x v="2"/>
    <x v="0"/>
    <x v="0"/>
    <x v="2"/>
    <x v="1"/>
    <x v="1"/>
  </r>
  <r>
    <n v="18"/>
    <n v="120"/>
    <n v="80"/>
    <n v="6.9"/>
    <x v="2"/>
    <n v="76"/>
    <x v="2"/>
    <x v="3"/>
    <x v="0"/>
    <x v="2"/>
    <x v="1"/>
    <x v="1"/>
  </r>
  <r>
    <n v="17"/>
    <n v="90"/>
    <n v="60"/>
    <n v="6.9"/>
    <x v="3"/>
    <n v="76"/>
    <x v="2"/>
    <x v="3"/>
    <x v="2"/>
    <x v="2"/>
    <x v="1"/>
    <x v="1"/>
  </r>
  <r>
    <n v="17"/>
    <n v="90"/>
    <n v="63"/>
    <n v="6.9"/>
    <x v="3"/>
    <n v="70"/>
    <x v="2"/>
    <x v="3"/>
    <x v="2"/>
    <x v="2"/>
    <x v="1"/>
    <x v="1"/>
  </r>
  <r>
    <n v="25"/>
    <n v="120"/>
    <n v="90"/>
    <n v="6.7"/>
    <x v="3"/>
    <n v="80"/>
    <x v="2"/>
    <x v="0"/>
    <x v="1"/>
    <x v="2"/>
    <x v="1"/>
    <x v="1"/>
  </r>
  <r>
    <n v="17"/>
    <n v="120"/>
    <n v="80"/>
    <n v="6.7"/>
    <x v="2"/>
    <n v="76"/>
    <x v="2"/>
    <x v="3"/>
    <x v="0"/>
    <x v="2"/>
    <x v="1"/>
    <x v="1"/>
  </r>
  <r>
    <n v="13"/>
    <n v="90"/>
    <n v="65"/>
    <n v="7.9"/>
    <x v="3"/>
    <n v="80"/>
    <x v="2"/>
    <x v="3"/>
    <x v="2"/>
    <x v="2"/>
    <x v="1"/>
    <x v="1"/>
  </r>
  <r>
    <n v="31"/>
    <n v="120"/>
    <n v="60"/>
    <n v="6.1"/>
    <x v="0"/>
    <n v="76"/>
    <x v="2"/>
    <x v="1"/>
    <x v="0"/>
    <x v="2"/>
    <x v="1"/>
    <x v="0"/>
  </r>
  <r>
    <n v="29"/>
    <n v="130"/>
    <n v="70"/>
    <n v="6.1"/>
    <x v="0"/>
    <n v="78"/>
    <x v="2"/>
    <x v="0"/>
    <x v="0"/>
    <x v="2"/>
    <x v="1"/>
    <x v="0"/>
  </r>
  <r>
    <n v="19"/>
    <n v="120"/>
    <n v="80"/>
    <n v="7"/>
    <x v="0"/>
    <n v="70"/>
    <x v="2"/>
    <x v="3"/>
    <x v="0"/>
    <x v="2"/>
    <x v="1"/>
    <x v="0"/>
  </r>
  <r>
    <n v="28"/>
    <n v="85"/>
    <n v="60"/>
    <n v="9"/>
    <x v="3"/>
    <n v="86"/>
    <x v="2"/>
    <x v="0"/>
    <x v="2"/>
    <x v="1"/>
    <x v="0"/>
    <x v="1"/>
  </r>
  <r>
    <n v="50"/>
    <n v="140"/>
    <n v="80"/>
    <n v="6.7"/>
    <x v="0"/>
    <n v="70"/>
    <x v="2"/>
    <x v="2"/>
    <x v="1"/>
    <x v="2"/>
    <x v="1"/>
    <x v="0"/>
  </r>
  <r>
    <n v="29"/>
    <n v="90"/>
    <n v="70"/>
    <n v="6.7"/>
    <x v="0"/>
    <n v="80"/>
    <x v="2"/>
    <x v="0"/>
    <x v="2"/>
    <x v="2"/>
    <x v="1"/>
    <x v="0"/>
  </r>
  <r>
    <n v="31"/>
    <n v="120"/>
    <n v="60"/>
    <n v="6.1"/>
    <x v="0"/>
    <n v="76"/>
    <x v="2"/>
    <x v="1"/>
    <x v="0"/>
    <x v="2"/>
    <x v="1"/>
    <x v="0"/>
  </r>
  <r>
    <n v="29"/>
    <n v="130"/>
    <n v="70"/>
    <n v="6.7"/>
    <x v="0"/>
    <n v="78"/>
    <x v="2"/>
    <x v="0"/>
    <x v="0"/>
    <x v="2"/>
    <x v="1"/>
    <x v="0"/>
  </r>
  <r>
    <n v="17"/>
    <n v="85"/>
    <n v="60"/>
    <n v="9"/>
    <x v="2"/>
    <n v="86"/>
    <x v="2"/>
    <x v="3"/>
    <x v="2"/>
    <x v="1"/>
    <x v="0"/>
    <x v="1"/>
  </r>
  <r>
    <n v="19"/>
    <n v="120"/>
    <n v="80"/>
    <n v="7"/>
    <x v="0"/>
    <n v="70"/>
    <x v="2"/>
    <x v="3"/>
    <x v="0"/>
    <x v="2"/>
    <x v="1"/>
    <x v="0"/>
  </r>
  <r>
    <n v="20"/>
    <n v="110"/>
    <n v="60"/>
    <n v="7"/>
    <x v="1"/>
    <n v="70"/>
    <x v="2"/>
    <x v="3"/>
    <x v="2"/>
    <x v="2"/>
    <x v="1"/>
    <x v="1"/>
  </r>
  <r>
    <n v="19"/>
    <n v="120"/>
    <n v="80"/>
    <n v="7"/>
    <x v="0"/>
    <n v="70"/>
    <x v="2"/>
    <x v="3"/>
    <x v="0"/>
    <x v="2"/>
    <x v="1"/>
    <x v="0"/>
  </r>
  <r>
    <n v="20"/>
    <n v="120"/>
    <n v="75"/>
    <n v="7.01"/>
    <x v="1"/>
    <n v="70"/>
    <x v="2"/>
    <x v="3"/>
    <x v="0"/>
    <x v="2"/>
    <x v="1"/>
    <x v="1"/>
  </r>
  <r>
    <n v="48"/>
    <n v="120"/>
    <n v="80"/>
    <n v="11"/>
    <x v="0"/>
    <n v="88"/>
    <x v="2"/>
    <x v="2"/>
    <x v="0"/>
    <x v="1"/>
    <x v="0"/>
    <x v="0"/>
  </r>
  <r>
    <n v="30"/>
    <n v="120"/>
    <n v="80"/>
    <n v="6.9"/>
    <x v="3"/>
    <n v="76"/>
    <x v="2"/>
    <x v="0"/>
    <x v="0"/>
    <x v="2"/>
    <x v="1"/>
    <x v="1"/>
  </r>
  <r>
    <n v="18"/>
    <n v="120"/>
    <n v="80"/>
    <n v="6.9"/>
    <x v="2"/>
    <n v="76"/>
    <x v="2"/>
    <x v="3"/>
    <x v="0"/>
    <x v="2"/>
    <x v="1"/>
    <x v="1"/>
  </r>
  <r>
    <n v="17"/>
    <n v="90"/>
    <n v="60"/>
    <n v="6.9"/>
    <x v="3"/>
    <n v="76"/>
    <x v="2"/>
    <x v="3"/>
    <x v="2"/>
    <x v="2"/>
    <x v="1"/>
    <x v="1"/>
  </r>
  <r>
    <n v="17"/>
    <n v="90"/>
    <n v="63"/>
    <n v="6.9"/>
    <x v="3"/>
    <n v="70"/>
    <x v="2"/>
    <x v="3"/>
    <x v="2"/>
    <x v="2"/>
    <x v="1"/>
    <x v="1"/>
  </r>
  <r>
    <n v="25"/>
    <n v="120"/>
    <n v="90"/>
    <n v="6.7"/>
    <x v="3"/>
    <n v="80"/>
    <x v="2"/>
    <x v="0"/>
    <x v="1"/>
    <x v="2"/>
    <x v="1"/>
    <x v="1"/>
  </r>
  <r>
    <n v="17"/>
    <n v="120"/>
    <n v="80"/>
    <n v="6.7"/>
    <x v="2"/>
    <n v="76"/>
    <x v="2"/>
    <x v="3"/>
    <x v="0"/>
    <x v="2"/>
    <x v="1"/>
    <x v="1"/>
  </r>
  <r>
    <n v="13"/>
    <n v="90"/>
    <n v="65"/>
    <n v="7.9"/>
    <x v="3"/>
    <n v="80"/>
    <x v="2"/>
    <x v="3"/>
    <x v="2"/>
    <x v="2"/>
    <x v="1"/>
    <x v="1"/>
  </r>
  <r>
    <n v="31"/>
    <n v="120"/>
    <n v="60"/>
    <n v="6.1"/>
    <x v="0"/>
    <n v="76"/>
    <x v="2"/>
    <x v="1"/>
    <x v="0"/>
    <x v="2"/>
    <x v="1"/>
    <x v="0"/>
  </r>
  <r>
    <n v="29"/>
    <n v="130"/>
    <n v="70"/>
    <n v="6.1"/>
    <x v="0"/>
    <n v="78"/>
    <x v="2"/>
    <x v="0"/>
    <x v="0"/>
    <x v="2"/>
    <x v="1"/>
    <x v="0"/>
  </r>
  <r>
    <n v="19"/>
    <n v="120"/>
    <n v="80"/>
    <n v="7"/>
    <x v="0"/>
    <n v="70"/>
    <x v="2"/>
    <x v="3"/>
    <x v="0"/>
    <x v="2"/>
    <x v="1"/>
    <x v="0"/>
  </r>
  <r>
    <n v="28"/>
    <n v="85"/>
    <n v="60"/>
    <n v="9"/>
    <x v="3"/>
    <n v="86"/>
    <x v="2"/>
    <x v="0"/>
    <x v="2"/>
    <x v="1"/>
    <x v="0"/>
    <x v="1"/>
  </r>
  <r>
    <n v="50"/>
    <n v="140"/>
    <n v="80"/>
    <n v="6.7"/>
    <x v="0"/>
    <n v="70"/>
    <x v="2"/>
    <x v="2"/>
    <x v="1"/>
    <x v="2"/>
    <x v="1"/>
    <x v="0"/>
  </r>
  <r>
    <n v="29"/>
    <n v="90"/>
    <n v="70"/>
    <n v="6.7"/>
    <x v="0"/>
    <n v="80"/>
    <x v="2"/>
    <x v="0"/>
    <x v="2"/>
    <x v="2"/>
    <x v="1"/>
    <x v="0"/>
  </r>
  <r>
    <n v="31"/>
    <n v="120"/>
    <n v="60"/>
    <n v="6.1"/>
    <x v="0"/>
    <n v="76"/>
    <x v="2"/>
    <x v="1"/>
    <x v="0"/>
    <x v="2"/>
    <x v="1"/>
    <x v="0"/>
  </r>
  <r>
    <n v="29"/>
    <n v="130"/>
    <n v="70"/>
    <n v="6.7"/>
    <x v="0"/>
    <n v="78"/>
    <x v="2"/>
    <x v="0"/>
    <x v="0"/>
    <x v="2"/>
    <x v="1"/>
    <x v="0"/>
  </r>
  <r>
    <n v="17"/>
    <n v="85"/>
    <n v="60"/>
    <n v="9"/>
    <x v="2"/>
    <n v="86"/>
    <x v="2"/>
    <x v="3"/>
    <x v="2"/>
    <x v="1"/>
    <x v="0"/>
    <x v="1"/>
  </r>
  <r>
    <n v="19"/>
    <n v="120"/>
    <n v="80"/>
    <n v="7"/>
    <x v="0"/>
    <n v="70"/>
    <x v="2"/>
    <x v="3"/>
    <x v="0"/>
    <x v="2"/>
    <x v="1"/>
    <x v="0"/>
  </r>
  <r>
    <n v="20"/>
    <n v="110"/>
    <n v="60"/>
    <n v="7"/>
    <x v="1"/>
    <n v="70"/>
    <x v="2"/>
    <x v="3"/>
    <x v="2"/>
    <x v="2"/>
    <x v="1"/>
    <x v="1"/>
  </r>
  <r>
    <n v="32"/>
    <n v="120"/>
    <n v="65"/>
    <n v="6"/>
    <x v="3"/>
    <n v="76"/>
    <x v="2"/>
    <x v="1"/>
    <x v="0"/>
    <x v="2"/>
    <x v="1"/>
    <x v="1"/>
  </r>
  <r>
    <n v="26"/>
    <n v="85"/>
    <n v="60"/>
    <n v="6"/>
    <x v="3"/>
    <n v="86"/>
    <x v="2"/>
    <x v="0"/>
    <x v="2"/>
    <x v="2"/>
    <x v="0"/>
    <x v="1"/>
  </r>
  <r>
    <n v="29"/>
    <n v="130"/>
    <n v="70"/>
    <n v="7.7"/>
    <x v="0"/>
    <n v="78"/>
    <x v="2"/>
    <x v="0"/>
    <x v="0"/>
    <x v="2"/>
    <x v="1"/>
    <x v="0"/>
  </r>
  <r>
    <n v="19"/>
    <n v="120"/>
    <n v="80"/>
    <n v="7"/>
    <x v="0"/>
    <n v="70"/>
    <x v="2"/>
    <x v="3"/>
    <x v="0"/>
    <x v="2"/>
    <x v="1"/>
    <x v="0"/>
  </r>
  <r>
    <n v="54"/>
    <n v="130"/>
    <n v="70"/>
    <n v="12"/>
    <x v="0"/>
    <n v="67"/>
    <x v="2"/>
    <x v="4"/>
    <x v="0"/>
    <x v="0"/>
    <x v="2"/>
    <x v="0"/>
  </r>
  <r>
    <n v="44"/>
    <n v="120"/>
    <n v="90"/>
    <n v="16"/>
    <x v="0"/>
    <n v="80"/>
    <x v="2"/>
    <x v="2"/>
    <x v="1"/>
    <x v="0"/>
    <x v="1"/>
    <x v="0"/>
  </r>
  <r>
    <n v="23"/>
    <n v="130"/>
    <n v="70"/>
    <n v="6.9"/>
    <x v="0"/>
    <n v="70"/>
    <x v="2"/>
    <x v="0"/>
    <x v="0"/>
    <x v="2"/>
    <x v="1"/>
    <x v="0"/>
  </r>
  <r>
    <n v="22"/>
    <n v="85"/>
    <n v="60"/>
    <n v="6.9"/>
    <x v="0"/>
    <n v="76"/>
    <x v="2"/>
    <x v="0"/>
    <x v="2"/>
    <x v="2"/>
    <x v="1"/>
    <x v="0"/>
  </r>
  <r>
    <n v="55"/>
    <n v="120"/>
    <n v="90"/>
    <n v="12"/>
    <x v="0"/>
    <n v="70"/>
    <x v="2"/>
    <x v="4"/>
    <x v="1"/>
    <x v="0"/>
    <x v="1"/>
    <x v="0"/>
  </r>
  <r>
    <n v="35"/>
    <n v="120"/>
    <n v="80"/>
    <n v="6.9"/>
    <x v="0"/>
    <n v="78"/>
    <x v="2"/>
    <x v="1"/>
    <x v="0"/>
    <x v="2"/>
    <x v="1"/>
    <x v="0"/>
  </r>
  <r>
    <n v="21"/>
    <n v="90"/>
    <n v="60"/>
    <n v="6.9"/>
    <x v="0"/>
    <n v="86"/>
    <x v="2"/>
    <x v="0"/>
    <x v="2"/>
    <x v="2"/>
    <x v="0"/>
    <x v="0"/>
  </r>
  <r>
    <n v="16"/>
    <n v="90"/>
    <n v="65"/>
    <n v="6.9"/>
    <x v="0"/>
    <n v="76"/>
    <x v="2"/>
    <x v="3"/>
    <x v="2"/>
    <x v="2"/>
    <x v="1"/>
    <x v="0"/>
  </r>
  <r>
    <n v="33"/>
    <n v="115"/>
    <n v="65"/>
    <n v="7"/>
    <x v="0"/>
    <n v="70"/>
    <x v="2"/>
    <x v="1"/>
    <x v="2"/>
    <x v="2"/>
    <x v="1"/>
    <x v="0"/>
  </r>
  <r>
    <n v="12"/>
    <n v="95"/>
    <n v="60"/>
    <n v="6.9"/>
    <x v="0"/>
    <n v="65"/>
    <x v="2"/>
    <x v="3"/>
    <x v="2"/>
    <x v="2"/>
    <x v="2"/>
    <x v="0"/>
  </r>
  <r>
    <n v="28"/>
    <n v="120"/>
    <n v="90"/>
    <n v="6.9"/>
    <x v="0"/>
    <n v="70"/>
    <x v="2"/>
    <x v="0"/>
    <x v="1"/>
    <x v="2"/>
    <x v="1"/>
    <x v="0"/>
  </r>
  <r>
    <n v="21"/>
    <n v="90"/>
    <n v="65"/>
    <n v="6.9"/>
    <x v="0"/>
    <n v="76"/>
    <x v="2"/>
    <x v="0"/>
    <x v="2"/>
    <x v="2"/>
    <x v="1"/>
    <x v="0"/>
  </r>
  <r>
    <n v="18"/>
    <n v="90"/>
    <n v="60"/>
    <n v="6.9"/>
    <x v="0"/>
    <n v="70"/>
    <x v="2"/>
    <x v="3"/>
    <x v="2"/>
    <x v="2"/>
    <x v="1"/>
    <x v="0"/>
  </r>
  <r>
    <n v="21"/>
    <n v="120"/>
    <n v="80"/>
    <n v="6.9"/>
    <x v="0"/>
    <n v="76"/>
    <x v="2"/>
    <x v="0"/>
    <x v="0"/>
    <x v="2"/>
    <x v="1"/>
    <x v="0"/>
  </r>
  <r>
    <n v="16"/>
    <n v="100"/>
    <n v="70"/>
    <n v="6.9"/>
    <x v="0"/>
    <n v="80"/>
    <x v="2"/>
    <x v="3"/>
    <x v="2"/>
    <x v="2"/>
    <x v="1"/>
    <x v="0"/>
  </r>
  <r>
    <n v="19"/>
    <n v="120"/>
    <n v="75"/>
    <n v="6.9"/>
    <x v="0"/>
    <n v="66"/>
    <x v="2"/>
    <x v="3"/>
    <x v="0"/>
    <x v="2"/>
    <x v="2"/>
    <x v="0"/>
  </r>
  <r>
    <n v="23"/>
    <n v="100"/>
    <n v="85"/>
    <n v="6.9"/>
    <x v="0"/>
    <n v="66"/>
    <x v="2"/>
    <x v="0"/>
    <x v="0"/>
    <x v="2"/>
    <x v="2"/>
    <x v="0"/>
  </r>
  <r>
    <n v="22"/>
    <n v="120"/>
    <n v="90"/>
    <n v="7.8"/>
    <x v="0"/>
    <n v="82"/>
    <x v="2"/>
    <x v="0"/>
    <x v="1"/>
    <x v="2"/>
    <x v="1"/>
    <x v="0"/>
  </r>
  <r>
    <n v="60"/>
    <n v="120"/>
    <n v="85"/>
    <n v="15"/>
    <x v="0"/>
    <n v="60"/>
    <x v="2"/>
    <x v="4"/>
    <x v="0"/>
    <x v="0"/>
    <x v="2"/>
    <x v="0"/>
  </r>
  <r>
    <n v="13"/>
    <n v="90"/>
    <n v="65"/>
    <n v="7.8"/>
    <x v="3"/>
    <n v="80"/>
    <x v="2"/>
    <x v="3"/>
    <x v="2"/>
    <x v="2"/>
    <x v="1"/>
    <x v="1"/>
  </r>
  <r>
    <n v="23"/>
    <n v="120"/>
    <n v="90"/>
    <n v="7.8"/>
    <x v="0"/>
    <n v="60"/>
    <x v="2"/>
    <x v="0"/>
    <x v="1"/>
    <x v="2"/>
    <x v="2"/>
    <x v="0"/>
  </r>
  <r>
    <n v="28"/>
    <n v="115"/>
    <n v="60"/>
    <n v="7.8"/>
    <x v="3"/>
    <n v="86"/>
    <x v="2"/>
    <x v="0"/>
    <x v="2"/>
    <x v="2"/>
    <x v="0"/>
    <x v="1"/>
  </r>
  <r>
    <n v="50"/>
    <n v="120"/>
    <n v="80"/>
    <n v="7.8"/>
    <x v="0"/>
    <n v="70"/>
    <x v="2"/>
    <x v="2"/>
    <x v="0"/>
    <x v="2"/>
    <x v="1"/>
    <x v="0"/>
  </r>
  <r>
    <n v="29"/>
    <n v="130"/>
    <n v="70"/>
    <n v="7.8"/>
    <x v="0"/>
    <n v="78"/>
    <x v="2"/>
    <x v="0"/>
    <x v="0"/>
    <x v="2"/>
    <x v="1"/>
    <x v="0"/>
  </r>
  <r>
    <n v="19"/>
    <n v="120"/>
    <n v="80"/>
    <n v="7"/>
    <x v="0"/>
    <n v="70"/>
    <x v="2"/>
    <x v="3"/>
    <x v="0"/>
    <x v="2"/>
    <x v="1"/>
    <x v="0"/>
  </r>
  <r>
    <n v="19"/>
    <n v="120"/>
    <n v="85"/>
    <n v="7.8"/>
    <x v="0"/>
    <n v="60"/>
    <x v="2"/>
    <x v="3"/>
    <x v="0"/>
    <x v="2"/>
    <x v="2"/>
    <x v="0"/>
  </r>
  <r>
    <n v="60"/>
    <n v="90"/>
    <n v="65"/>
    <n v="6.8"/>
    <x v="0"/>
    <n v="77"/>
    <x v="2"/>
    <x v="4"/>
    <x v="2"/>
    <x v="2"/>
    <x v="1"/>
    <x v="0"/>
  </r>
  <r>
    <n v="55"/>
    <n v="120"/>
    <n v="90"/>
    <n v="6.8"/>
    <x v="0"/>
    <n v="66"/>
    <x v="2"/>
    <x v="4"/>
    <x v="1"/>
    <x v="2"/>
    <x v="2"/>
    <x v="0"/>
  </r>
  <r>
    <n v="25"/>
    <n v="120"/>
    <n v="80"/>
    <n v="6.8"/>
    <x v="0"/>
    <n v="66"/>
    <x v="2"/>
    <x v="0"/>
    <x v="0"/>
    <x v="2"/>
    <x v="2"/>
    <x v="0"/>
  </r>
  <r>
    <n v="12"/>
    <n v="120"/>
    <n v="95"/>
    <n v="6.8"/>
    <x v="0"/>
    <n v="60"/>
    <x v="2"/>
    <x v="3"/>
    <x v="1"/>
    <x v="2"/>
    <x v="2"/>
    <x v="0"/>
  </r>
  <r>
    <n v="35"/>
    <n v="100"/>
    <n v="70"/>
    <n v="6.8"/>
    <x v="0"/>
    <n v="60"/>
    <x v="2"/>
    <x v="1"/>
    <x v="2"/>
    <x v="2"/>
    <x v="2"/>
    <x v="0"/>
  </r>
  <r>
    <n v="19"/>
    <n v="120"/>
    <n v="90"/>
    <n v="6.8"/>
    <x v="0"/>
    <n v="60"/>
    <x v="2"/>
    <x v="3"/>
    <x v="1"/>
    <x v="2"/>
    <x v="2"/>
    <x v="0"/>
  </r>
  <r>
    <n v="60"/>
    <n v="90"/>
    <n v="65"/>
    <n v="6.8"/>
    <x v="0"/>
    <n v="77"/>
    <x v="2"/>
    <x v="4"/>
    <x v="2"/>
    <x v="2"/>
    <x v="1"/>
    <x v="0"/>
  </r>
  <r>
    <n v="50"/>
    <n v="130"/>
    <n v="80"/>
    <n v="16"/>
    <x v="2"/>
    <n v="76"/>
    <x v="2"/>
    <x v="2"/>
    <x v="0"/>
    <x v="0"/>
    <x v="1"/>
    <x v="1"/>
  </r>
  <r>
    <n v="27"/>
    <n v="120"/>
    <n v="90"/>
    <n v="6.8"/>
    <x v="2"/>
    <n v="68"/>
    <x v="2"/>
    <x v="0"/>
    <x v="1"/>
    <x v="2"/>
    <x v="2"/>
    <x v="1"/>
  </r>
  <r>
    <n v="55"/>
    <n v="100"/>
    <n v="70"/>
    <n v="6.8"/>
    <x v="3"/>
    <n v="80"/>
    <x v="2"/>
    <x v="4"/>
    <x v="2"/>
    <x v="2"/>
    <x v="1"/>
    <x v="1"/>
  </r>
  <r>
    <n v="12"/>
    <n v="120"/>
    <n v="90"/>
    <n v="6.8"/>
    <x v="0"/>
    <n v="80"/>
    <x v="2"/>
    <x v="3"/>
    <x v="1"/>
    <x v="2"/>
    <x v="1"/>
    <x v="0"/>
  </r>
  <r>
    <n v="60"/>
    <n v="120"/>
    <n v="80"/>
    <n v="6.8"/>
    <x v="0"/>
    <n v="77"/>
    <x v="2"/>
    <x v="4"/>
    <x v="0"/>
    <x v="2"/>
    <x v="1"/>
    <x v="0"/>
  </r>
  <r>
    <n v="25"/>
    <n v="120"/>
    <n v="100"/>
    <n v="6.8"/>
    <x v="0"/>
    <n v="60"/>
    <x v="2"/>
    <x v="0"/>
    <x v="3"/>
    <x v="2"/>
    <x v="2"/>
    <x v="0"/>
  </r>
  <r>
    <n v="22"/>
    <n v="90"/>
    <n v="60"/>
    <n v="6.8"/>
    <x v="0"/>
    <n v="77"/>
    <x v="2"/>
    <x v="0"/>
    <x v="2"/>
    <x v="2"/>
    <x v="1"/>
    <x v="0"/>
  </r>
  <r>
    <n v="30"/>
    <n v="120"/>
    <n v="80"/>
    <n v="6.8"/>
    <x v="0"/>
    <n v="70"/>
    <x v="2"/>
    <x v="0"/>
    <x v="0"/>
    <x v="2"/>
    <x v="1"/>
    <x v="0"/>
  </r>
  <r>
    <n v="35"/>
    <n v="120"/>
    <n v="60"/>
    <n v="6.1"/>
    <x v="0"/>
    <n v="76"/>
    <x v="2"/>
    <x v="1"/>
    <x v="0"/>
    <x v="2"/>
    <x v="1"/>
    <x v="0"/>
  </r>
  <r>
    <n v="23"/>
    <n v="130"/>
    <n v="70"/>
    <n v="6.8"/>
    <x v="0"/>
    <n v="78"/>
    <x v="2"/>
    <x v="0"/>
    <x v="0"/>
    <x v="2"/>
    <x v="1"/>
    <x v="0"/>
  </r>
  <r>
    <n v="43"/>
    <n v="130"/>
    <n v="80"/>
    <n v="18"/>
    <x v="0"/>
    <n v="70"/>
    <x v="2"/>
    <x v="2"/>
    <x v="0"/>
    <x v="0"/>
    <x v="1"/>
    <x v="0"/>
  </r>
  <r>
    <n v="19"/>
    <n v="120"/>
    <n v="80"/>
    <n v="7"/>
    <x v="0"/>
    <n v="70"/>
    <x v="2"/>
    <x v="3"/>
    <x v="0"/>
    <x v="2"/>
    <x v="1"/>
    <x v="0"/>
  </r>
  <r>
    <n v="30"/>
    <n v="120"/>
    <n v="75"/>
    <n v="6.8"/>
    <x v="0"/>
    <n v="70"/>
    <x v="2"/>
    <x v="0"/>
    <x v="0"/>
    <x v="2"/>
    <x v="1"/>
    <x v="0"/>
  </r>
  <r>
    <n v="32"/>
    <n v="120"/>
    <n v="80"/>
    <n v="6.8"/>
    <x v="0"/>
    <n v="70"/>
    <x v="2"/>
    <x v="1"/>
    <x v="0"/>
    <x v="2"/>
    <x v="1"/>
    <x v="0"/>
  </r>
  <r>
    <n v="23"/>
    <n v="130"/>
    <n v="70"/>
    <n v="6.8"/>
    <x v="0"/>
    <n v="78"/>
    <x v="2"/>
    <x v="0"/>
    <x v="0"/>
    <x v="2"/>
    <x v="1"/>
    <x v="0"/>
  </r>
  <r>
    <n v="42"/>
    <n v="130"/>
    <n v="80"/>
    <n v="18"/>
    <x v="0"/>
    <n v="70"/>
    <x v="2"/>
    <x v="2"/>
    <x v="0"/>
    <x v="0"/>
    <x v="1"/>
    <x v="0"/>
  </r>
  <r>
    <n v="19"/>
    <n v="120"/>
    <n v="80"/>
    <n v="7"/>
    <x v="0"/>
    <n v="70"/>
    <x v="2"/>
    <x v="3"/>
    <x v="0"/>
    <x v="2"/>
    <x v="1"/>
    <x v="0"/>
  </r>
  <r>
    <n v="31"/>
    <n v="110"/>
    <n v="90"/>
    <n v="6.8"/>
    <x v="1"/>
    <n v="70"/>
    <x v="2"/>
    <x v="1"/>
    <x v="1"/>
    <x v="2"/>
    <x v="1"/>
    <x v="1"/>
  </r>
  <r>
    <n v="19"/>
    <n v="120"/>
    <n v="80"/>
    <n v="7"/>
    <x v="0"/>
    <n v="70"/>
    <x v="2"/>
    <x v="3"/>
    <x v="0"/>
    <x v="2"/>
    <x v="1"/>
    <x v="0"/>
  </r>
  <r>
    <n v="25"/>
    <n v="120"/>
    <n v="80"/>
    <n v="7.9"/>
    <x v="0"/>
    <n v="66"/>
    <x v="2"/>
    <x v="0"/>
    <x v="0"/>
    <x v="2"/>
    <x v="2"/>
    <x v="0"/>
  </r>
  <r>
    <n v="31"/>
    <n v="120"/>
    <n v="60"/>
    <n v="6.1"/>
    <x v="0"/>
    <n v="76"/>
    <x v="2"/>
    <x v="1"/>
    <x v="0"/>
    <x v="2"/>
    <x v="1"/>
    <x v="0"/>
  </r>
  <r>
    <n v="23"/>
    <n v="120"/>
    <n v="90"/>
    <n v="7.9"/>
    <x v="0"/>
    <n v="70"/>
    <x v="2"/>
    <x v="0"/>
    <x v="1"/>
    <x v="2"/>
    <x v="1"/>
    <x v="0"/>
  </r>
  <r>
    <n v="29"/>
    <n v="130"/>
    <n v="70"/>
    <n v="7.9"/>
    <x v="0"/>
    <n v="78"/>
    <x v="2"/>
    <x v="0"/>
    <x v="0"/>
    <x v="2"/>
    <x v="1"/>
    <x v="0"/>
  </r>
  <r>
    <n v="48"/>
    <n v="120"/>
    <n v="80"/>
    <n v="11"/>
    <x v="0"/>
    <n v="88"/>
    <x v="2"/>
    <x v="2"/>
    <x v="0"/>
    <x v="1"/>
    <x v="0"/>
    <x v="0"/>
  </r>
  <r>
    <n v="18"/>
    <n v="120"/>
    <n v="80"/>
    <n v="7.9"/>
    <x v="2"/>
    <n v="76"/>
    <x v="2"/>
    <x v="3"/>
    <x v="0"/>
    <x v="2"/>
    <x v="1"/>
    <x v="1"/>
  </r>
  <r>
    <n v="18"/>
    <n v="85"/>
    <n v="60"/>
    <n v="7.5"/>
    <x v="3"/>
    <n v="86"/>
    <x v="2"/>
    <x v="3"/>
    <x v="2"/>
    <x v="2"/>
    <x v="0"/>
    <x v="1"/>
  </r>
  <r>
    <n v="29"/>
    <n v="130"/>
    <n v="70"/>
    <n v="7.5"/>
    <x v="0"/>
    <n v="78"/>
    <x v="2"/>
    <x v="0"/>
    <x v="0"/>
    <x v="2"/>
    <x v="1"/>
    <x v="0"/>
  </r>
  <r>
    <n v="23"/>
    <n v="120"/>
    <n v="75"/>
    <n v="8"/>
    <x v="0"/>
    <n v="70"/>
    <x v="2"/>
    <x v="0"/>
    <x v="0"/>
    <x v="1"/>
    <x v="1"/>
    <x v="0"/>
  </r>
  <r>
    <n v="15"/>
    <n v="120"/>
    <n v="80"/>
    <n v="7.5"/>
    <x v="0"/>
    <n v="70"/>
    <x v="2"/>
    <x v="3"/>
    <x v="0"/>
    <x v="2"/>
    <x v="1"/>
    <x v="0"/>
  </r>
  <r>
    <n v="30"/>
    <n v="120"/>
    <n v="80"/>
    <n v="7.5"/>
    <x v="3"/>
    <n v="76"/>
    <x v="2"/>
    <x v="0"/>
    <x v="0"/>
    <x v="2"/>
    <x v="1"/>
    <x v="1"/>
  </r>
  <r>
    <n v="40"/>
    <n v="120"/>
    <n v="95"/>
    <n v="11"/>
    <x v="0"/>
    <n v="80"/>
    <x v="2"/>
    <x v="1"/>
    <x v="1"/>
    <x v="1"/>
    <x v="1"/>
    <x v="0"/>
  </r>
  <r>
    <n v="60"/>
    <n v="120"/>
    <n v="85"/>
    <n v="15"/>
    <x v="0"/>
    <n v="60"/>
    <x v="2"/>
    <x v="4"/>
    <x v="0"/>
    <x v="0"/>
    <x v="2"/>
    <x v="0"/>
  </r>
  <r>
    <n v="50"/>
    <n v="130"/>
    <n v="100"/>
    <n v="16"/>
    <x v="0"/>
    <n v="75"/>
    <x v="2"/>
    <x v="2"/>
    <x v="3"/>
    <x v="0"/>
    <x v="1"/>
    <x v="0"/>
  </r>
  <r>
    <n v="28"/>
    <n v="115"/>
    <n v="60"/>
    <n v="7.5"/>
    <x v="3"/>
    <n v="86"/>
    <x v="2"/>
    <x v="0"/>
    <x v="2"/>
    <x v="2"/>
    <x v="0"/>
    <x v="1"/>
  </r>
  <r>
    <n v="31"/>
    <n v="120"/>
    <n v="60"/>
    <n v="6.1"/>
    <x v="0"/>
    <n v="76"/>
    <x v="2"/>
    <x v="1"/>
    <x v="0"/>
    <x v="2"/>
    <x v="1"/>
    <x v="0"/>
  </r>
  <r>
    <n v="23"/>
    <n v="120"/>
    <n v="80"/>
    <n v="7.5"/>
    <x v="0"/>
    <n v="70"/>
    <x v="2"/>
    <x v="0"/>
    <x v="0"/>
    <x v="2"/>
    <x v="1"/>
    <x v="0"/>
  </r>
  <r>
    <n v="29"/>
    <n v="130"/>
    <n v="70"/>
    <n v="7.5"/>
    <x v="0"/>
    <n v="78"/>
    <x v="2"/>
    <x v="0"/>
    <x v="0"/>
    <x v="2"/>
    <x v="1"/>
    <x v="0"/>
  </r>
  <r>
    <n v="22"/>
    <n v="100"/>
    <n v="65"/>
    <n v="7.5"/>
    <x v="0"/>
    <n v="70"/>
    <x v="2"/>
    <x v="0"/>
    <x v="2"/>
    <x v="2"/>
    <x v="1"/>
    <x v="0"/>
  </r>
  <r>
    <n v="49"/>
    <n v="120"/>
    <n v="90"/>
    <n v="7.5"/>
    <x v="0"/>
    <n v="77"/>
    <x v="2"/>
    <x v="2"/>
    <x v="1"/>
    <x v="2"/>
    <x v="1"/>
    <x v="0"/>
  </r>
  <r>
    <n v="28"/>
    <n v="90"/>
    <n v="60"/>
    <n v="7.5"/>
    <x v="0"/>
    <n v="82"/>
    <x v="2"/>
    <x v="0"/>
    <x v="2"/>
    <x v="2"/>
    <x v="1"/>
    <x v="0"/>
  </r>
  <r>
    <n v="12"/>
    <n v="90"/>
    <n v="60"/>
    <n v="7.5"/>
    <x v="2"/>
    <n v="66"/>
    <x v="2"/>
    <x v="3"/>
    <x v="2"/>
    <x v="2"/>
    <x v="2"/>
    <x v="1"/>
  </r>
  <r>
    <n v="20"/>
    <n v="100"/>
    <n v="90"/>
    <n v="7.5"/>
    <x v="0"/>
    <n v="88"/>
    <x v="2"/>
    <x v="3"/>
    <x v="1"/>
    <x v="2"/>
    <x v="0"/>
    <x v="0"/>
  </r>
  <r>
    <n v="23"/>
    <n v="100"/>
    <n v="85"/>
    <n v="7.5"/>
    <x v="0"/>
    <n v="66"/>
    <x v="2"/>
    <x v="0"/>
    <x v="0"/>
    <x v="2"/>
    <x v="2"/>
    <x v="0"/>
  </r>
  <r>
    <n v="22"/>
    <n v="120"/>
    <n v="90"/>
    <n v="7.5"/>
    <x v="0"/>
    <n v="82"/>
    <x v="2"/>
    <x v="0"/>
    <x v="1"/>
    <x v="2"/>
    <x v="1"/>
    <x v="0"/>
  </r>
  <r>
    <n v="21"/>
    <n v="120"/>
    <n v="80"/>
    <n v="7.5"/>
    <x v="0"/>
    <n v="77"/>
    <x v="2"/>
    <x v="0"/>
    <x v="0"/>
    <x v="2"/>
    <x v="1"/>
    <x v="0"/>
  </r>
  <r>
    <n v="60"/>
    <n v="120"/>
    <n v="80"/>
    <n v="7.5"/>
    <x v="0"/>
    <n v="75"/>
    <x v="2"/>
    <x v="4"/>
    <x v="0"/>
    <x v="2"/>
    <x v="1"/>
    <x v="0"/>
  </r>
  <r>
    <n v="50"/>
    <n v="130"/>
    <n v="100"/>
    <n v="16"/>
    <x v="0"/>
    <n v="75"/>
    <x v="2"/>
    <x v="2"/>
    <x v="3"/>
    <x v="0"/>
    <x v="1"/>
    <x v="0"/>
  </r>
  <r>
    <n v="17"/>
    <n v="90"/>
    <n v="65"/>
    <n v="7.5"/>
    <x v="4"/>
    <n v="67"/>
    <x v="2"/>
    <x v="3"/>
    <x v="2"/>
    <x v="2"/>
    <x v="2"/>
    <x v="1"/>
  </r>
  <r>
    <n v="29"/>
    <n v="130"/>
    <n v="70"/>
    <n v="7.5"/>
    <x v="0"/>
    <n v="78"/>
    <x v="2"/>
    <x v="0"/>
    <x v="0"/>
    <x v="2"/>
    <x v="1"/>
    <x v="0"/>
  </r>
  <r>
    <n v="19"/>
    <n v="120"/>
    <n v="80"/>
    <n v="7"/>
    <x v="0"/>
    <n v="70"/>
    <x v="2"/>
    <x v="3"/>
    <x v="0"/>
    <x v="2"/>
    <x v="1"/>
    <x v="0"/>
  </r>
  <r>
    <n v="19"/>
    <n v="120"/>
    <n v="85"/>
    <n v="9"/>
    <x v="0"/>
    <n v="60"/>
    <x v="2"/>
    <x v="3"/>
    <x v="0"/>
    <x v="1"/>
    <x v="2"/>
    <x v="0"/>
  </r>
  <r>
    <n v="30"/>
    <n v="90"/>
    <n v="65"/>
    <n v="8"/>
    <x v="0"/>
    <n v="77"/>
    <x v="2"/>
    <x v="0"/>
    <x v="2"/>
    <x v="1"/>
    <x v="1"/>
    <x v="0"/>
  </r>
  <r>
    <n v="28"/>
    <n v="85"/>
    <n v="60"/>
    <n v="9"/>
    <x v="3"/>
    <n v="86"/>
    <x v="2"/>
    <x v="0"/>
    <x v="2"/>
    <x v="1"/>
    <x v="0"/>
    <x v="1"/>
  </r>
  <r>
    <n v="50"/>
    <n v="120"/>
    <n v="80"/>
    <n v="7"/>
    <x v="0"/>
    <n v="70"/>
    <x v="2"/>
    <x v="2"/>
    <x v="0"/>
    <x v="2"/>
    <x v="1"/>
    <x v="0"/>
  </r>
  <r>
    <n v="39"/>
    <n v="110"/>
    <n v="70"/>
    <n v="7.9"/>
    <x v="0"/>
    <n v="80"/>
    <x v="2"/>
    <x v="1"/>
    <x v="2"/>
    <x v="2"/>
    <x v="1"/>
    <x v="0"/>
  </r>
  <r>
    <n v="29"/>
    <n v="130"/>
    <n v="70"/>
    <n v="8"/>
    <x v="0"/>
    <n v="78"/>
    <x v="2"/>
    <x v="0"/>
    <x v="0"/>
    <x v="1"/>
    <x v="1"/>
    <x v="0"/>
  </r>
  <r>
    <n v="17"/>
    <n v="90"/>
    <n v="60"/>
    <n v="9"/>
    <x v="2"/>
    <n v="86"/>
    <x v="2"/>
    <x v="3"/>
    <x v="2"/>
    <x v="1"/>
    <x v="0"/>
    <x v="1"/>
  </r>
  <r>
    <n v="32"/>
    <n v="120"/>
    <n v="90"/>
    <n v="7"/>
    <x v="1"/>
    <n v="70"/>
    <x v="2"/>
    <x v="1"/>
    <x v="1"/>
    <x v="2"/>
    <x v="1"/>
    <x v="1"/>
  </r>
  <r>
    <n v="42"/>
    <n v="120"/>
    <n v="90"/>
    <n v="9"/>
    <x v="0"/>
    <n v="70"/>
    <x v="2"/>
    <x v="2"/>
    <x v="1"/>
    <x v="1"/>
    <x v="1"/>
    <x v="0"/>
  </r>
  <r>
    <n v="36"/>
    <n v="120"/>
    <n v="90"/>
    <n v="7"/>
    <x v="0"/>
    <n v="82"/>
    <x v="2"/>
    <x v="1"/>
    <x v="1"/>
    <x v="2"/>
    <x v="1"/>
    <x v="0"/>
  </r>
  <r>
    <n v="30"/>
    <n v="120"/>
    <n v="80"/>
    <n v="9"/>
    <x v="3"/>
    <n v="76"/>
    <x v="2"/>
    <x v="0"/>
    <x v="0"/>
    <x v="1"/>
    <x v="1"/>
    <x v="1"/>
  </r>
  <r>
    <n v="15"/>
    <n v="70"/>
    <n v="50"/>
    <n v="6"/>
    <x v="0"/>
    <n v="70"/>
    <x v="2"/>
    <x v="3"/>
    <x v="4"/>
    <x v="2"/>
    <x v="1"/>
    <x v="0"/>
  </r>
  <r>
    <n v="10"/>
    <n v="100"/>
    <n v="50"/>
    <n v="6"/>
    <x v="6"/>
    <n v="70"/>
    <x v="2"/>
    <x v="3"/>
    <x v="2"/>
    <x v="2"/>
    <x v="1"/>
    <x v="0"/>
  </r>
  <r>
    <n v="12"/>
    <n v="100"/>
    <n v="50"/>
    <n v="6.4"/>
    <x v="0"/>
    <n v="70"/>
    <x v="2"/>
    <x v="3"/>
    <x v="2"/>
    <x v="2"/>
    <x v="1"/>
    <x v="0"/>
  </r>
  <r>
    <n v="12"/>
    <n v="100"/>
    <n v="50"/>
    <n v="6"/>
    <x v="0"/>
    <n v="70"/>
    <x v="2"/>
    <x v="3"/>
    <x v="2"/>
    <x v="2"/>
    <x v="1"/>
    <x v="0"/>
  </r>
  <r>
    <n v="23"/>
    <n v="130"/>
    <n v="70"/>
    <n v="7.01"/>
    <x v="0"/>
    <n v="78"/>
    <x v="2"/>
    <x v="0"/>
    <x v="0"/>
    <x v="2"/>
    <x v="1"/>
    <x v="0"/>
  </r>
  <r>
    <n v="32"/>
    <n v="120"/>
    <n v="90"/>
    <n v="6.9"/>
    <x v="0"/>
    <n v="70"/>
    <x v="2"/>
    <x v="1"/>
    <x v="1"/>
    <x v="2"/>
    <x v="1"/>
    <x v="0"/>
  </r>
  <r>
    <n v="19"/>
    <n v="120"/>
    <n v="80"/>
    <n v="7"/>
    <x v="0"/>
    <n v="70"/>
    <x v="2"/>
    <x v="3"/>
    <x v="0"/>
    <x v="2"/>
    <x v="1"/>
    <x v="0"/>
  </r>
  <r>
    <n v="20"/>
    <n v="120"/>
    <n v="75"/>
    <n v="7.01"/>
    <x v="1"/>
    <n v="70"/>
    <x v="2"/>
    <x v="3"/>
    <x v="0"/>
    <x v="2"/>
    <x v="1"/>
    <x v="1"/>
  </r>
  <r>
    <n v="48"/>
    <n v="120"/>
    <n v="80"/>
    <n v="11"/>
    <x v="0"/>
    <n v="88"/>
    <x v="2"/>
    <x v="2"/>
    <x v="0"/>
    <x v="1"/>
    <x v="0"/>
    <x v="0"/>
  </r>
  <r>
    <n v="30"/>
    <n v="120"/>
    <n v="80"/>
    <n v="6.9"/>
    <x v="3"/>
    <n v="76"/>
    <x v="2"/>
    <x v="0"/>
    <x v="0"/>
    <x v="2"/>
    <x v="1"/>
    <x v="1"/>
  </r>
  <r>
    <n v="18"/>
    <n v="120"/>
    <n v="80"/>
    <n v="6.9"/>
    <x v="2"/>
    <n v="76"/>
    <x v="2"/>
    <x v="3"/>
    <x v="0"/>
    <x v="2"/>
    <x v="1"/>
    <x v="1"/>
  </r>
  <r>
    <n v="17"/>
    <n v="90"/>
    <n v="60"/>
    <n v="6.9"/>
    <x v="3"/>
    <n v="76"/>
    <x v="2"/>
    <x v="3"/>
    <x v="2"/>
    <x v="2"/>
    <x v="1"/>
    <x v="1"/>
  </r>
  <r>
    <n v="17"/>
    <n v="90"/>
    <n v="63"/>
    <n v="6.9"/>
    <x v="3"/>
    <n v="70"/>
    <x v="2"/>
    <x v="3"/>
    <x v="2"/>
    <x v="2"/>
    <x v="1"/>
    <x v="1"/>
  </r>
  <r>
    <n v="25"/>
    <n v="120"/>
    <n v="90"/>
    <n v="6.7"/>
    <x v="3"/>
    <n v="80"/>
    <x v="2"/>
    <x v="0"/>
    <x v="1"/>
    <x v="2"/>
    <x v="1"/>
    <x v="1"/>
  </r>
  <r>
    <n v="17"/>
    <n v="120"/>
    <n v="80"/>
    <n v="6.7"/>
    <x v="2"/>
    <n v="76"/>
    <x v="2"/>
    <x v="3"/>
    <x v="0"/>
    <x v="2"/>
    <x v="1"/>
    <x v="1"/>
  </r>
  <r>
    <n v="13"/>
    <n v="90"/>
    <n v="65"/>
    <n v="7.9"/>
    <x v="3"/>
    <n v="80"/>
    <x v="2"/>
    <x v="3"/>
    <x v="2"/>
    <x v="2"/>
    <x v="1"/>
    <x v="1"/>
  </r>
  <r>
    <n v="31"/>
    <n v="120"/>
    <n v="60"/>
    <n v="6.1"/>
    <x v="0"/>
    <n v="76"/>
    <x v="2"/>
    <x v="1"/>
    <x v="0"/>
    <x v="2"/>
    <x v="1"/>
    <x v="0"/>
  </r>
  <r>
    <n v="29"/>
    <n v="130"/>
    <n v="70"/>
    <n v="6.1"/>
    <x v="0"/>
    <n v="78"/>
    <x v="2"/>
    <x v="0"/>
    <x v="0"/>
    <x v="2"/>
    <x v="1"/>
    <x v="0"/>
  </r>
  <r>
    <n v="19"/>
    <n v="120"/>
    <n v="80"/>
    <n v="7"/>
    <x v="0"/>
    <n v="70"/>
    <x v="2"/>
    <x v="3"/>
    <x v="0"/>
    <x v="2"/>
    <x v="1"/>
    <x v="0"/>
  </r>
  <r>
    <n v="28"/>
    <n v="85"/>
    <n v="60"/>
    <n v="9"/>
    <x v="3"/>
    <n v="86"/>
    <x v="2"/>
    <x v="0"/>
    <x v="2"/>
    <x v="1"/>
    <x v="0"/>
    <x v="1"/>
  </r>
  <r>
    <n v="50"/>
    <n v="140"/>
    <n v="80"/>
    <n v="6.7"/>
    <x v="0"/>
    <n v="70"/>
    <x v="2"/>
    <x v="2"/>
    <x v="1"/>
    <x v="2"/>
    <x v="1"/>
    <x v="0"/>
  </r>
  <r>
    <n v="29"/>
    <n v="90"/>
    <n v="70"/>
    <n v="6.7"/>
    <x v="0"/>
    <n v="80"/>
    <x v="2"/>
    <x v="0"/>
    <x v="2"/>
    <x v="2"/>
    <x v="1"/>
    <x v="0"/>
  </r>
  <r>
    <n v="31"/>
    <n v="120"/>
    <n v="60"/>
    <n v="6.1"/>
    <x v="0"/>
    <n v="76"/>
    <x v="2"/>
    <x v="1"/>
    <x v="0"/>
    <x v="2"/>
    <x v="1"/>
    <x v="0"/>
  </r>
  <r>
    <n v="29"/>
    <n v="130"/>
    <n v="70"/>
    <n v="6.7"/>
    <x v="0"/>
    <n v="78"/>
    <x v="2"/>
    <x v="0"/>
    <x v="0"/>
    <x v="2"/>
    <x v="1"/>
    <x v="0"/>
  </r>
  <r>
    <n v="17"/>
    <n v="85"/>
    <n v="60"/>
    <n v="9"/>
    <x v="2"/>
    <n v="86"/>
    <x v="2"/>
    <x v="3"/>
    <x v="2"/>
    <x v="1"/>
    <x v="0"/>
    <x v="1"/>
  </r>
  <r>
    <n v="19"/>
    <n v="120"/>
    <n v="80"/>
    <n v="7"/>
    <x v="0"/>
    <n v="70"/>
    <x v="2"/>
    <x v="3"/>
    <x v="0"/>
    <x v="2"/>
    <x v="1"/>
    <x v="0"/>
  </r>
  <r>
    <n v="20"/>
    <n v="110"/>
    <n v="60"/>
    <n v="7"/>
    <x v="1"/>
    <n v="70"/>
    <x v="2"/>
    <x v="3"/>
    <x v="2"/>
    <x v="2"/>
    <x v="1"/>
    <x v="1"/>
  </r>
  <r>
    <n v="32"/>
    <n v="120"/>
    <n v="65"/>
    <n v="6"/>
    <x v="3"/>
    <n v="76"/>
    <x v="2"/>
    <x v="1"/>
    <x v="0"/>
    <x v="2"/>
    <x v="1"/>
    <x v="1"/>
  </r>
  <r>
    <n v="27"/>
    <n v="120"/>
    <n v="70"/>
    <n v="6.8"/>
    <x v="0"/>
    <n v="77"/>
    <x v="1"/>
    <x v="0"/>
    <x v="0"/>
    <x v="2"/>
    <x v="1"/>
    <x v="0"/>
  </r>
  <r>
    <n v="27"/>
    <n v="120"/>
    <n v="70"/>
    <n v="6.8"/>
    <x v="0"/>
    <n v="77"/>
    <x v="1"/>
    <x v="0"/>
    <x v="0"/>
    <x v="2"/>
    <x v="1"/>
    <x v="0"/>
  </r>
  <r>
    <n v="32"/>
    <n v="120"/>
    <n v="90"/>
    <n v="6.8"/>
    <x v="0"/>
    <n v="70"/>
    <x v="1"/>
    <x v="1"/>
    <x v="1"/>
    <x v="2"/>
    <x v="1"/>
    <x v="0"/>
  </r>
  <r>
    <n v="23"/>
    <n v="99"/>
    <n v="60"/>
    <n v="6.8"/>
    <x v="0"/>
    <n v="76"/>
    <x v="1"/>
    <x v="0"/>
    <x v="2"/>
    <x v="2"/>
    <x v="1"/>
    <x v="0"/>
  </r>
  <r>
    <n v="15"/>
    <n v="76"/>
    <n v="49"/>
    <n v="6.8"/>
    <x v="0"/>
    <n v="77"/>
    <x v="1"/>
    <x v="3"/>
    <x v="4"/>
    <x v="2"/>
    <x v="1"/>
    <x v="0"/>
  </r>
  <r>
    <n v="15"/>
    <n v="120"/>
    <n v="80"/>
    <n v="6.8"/>
    <x v="0"/>
    <n v="70"/>
    <x v="1"/>
    <x v="3"/>
    <x v="0"/>
    <x v="2"/>
    <x v="1"/>
    <x v="0"/>
  </r>
  <r>
    <n v="29"/>
    <n v="100"/>
    <n v="70"/>
    <n v="6.8"/>
    <x v="0"/>
    <n v="80"/>
    <x v="1"/>
    <x v="0"/>
    <x v="2"/>
    <x v="2"/>
    <x v="1"/>
    <x v="0"/>
  </r>
  <r>
    <n v="35"/>
    <n v="120"/>
    <n v="60"/>
    <n v="6.1"/>
    <x v="0"/>
    <n v="76"/>
    <x v="1"/>
    <x v="1"/>
    <x v="0"/>
    <x v="2"/>
    <x v="1"/>
    <x v="0"/>
  </r>
  <r>
    <n v="32"/>
    <n v="120"/>
    <n v="90"/>
    <n v="6.8"/>
    <x v="0"/>
    <n v="70"/>
    <x v="1"/>
    <x v="1"/>
    <x v="1"/>
    <x v="2"/>
    <x v="1"/>
    <x v="0"/>
  </r>
  <r>
    <n v="23"/>
    <n v="90"/>
    <n v="60"/>
    <n v="6.8"/>
    <x v="0"/>
    <n v="76"/>
    <x v="1"/>
    <x v="0"/>
    <x v="2"/>
    <x v="2"/>
    <x v="1"/>
    <x v="0"/>
  </r>
  <r>
    <n v="15"/>
    <n v="76"/>
    <n v="49"/>
    <n v="6.8"/>
    <x v="0"/>
    <n v="77"/>
    <x v="1"/>
    <x v="3"/>
    <x v="4"/>
    <x v="2"/>
    <x v="1"/>
    <x v="0"/>
  </r>
  <r>
    <n v="20"/>
    <n v="120"/>
    <n v="75"/>
    <n v="6.8"/>
    <x v="0"/>
    <n v="70"/>
    <x v="1"/>
    <x v="3"/>
    <x v="0"/>
    <x v="2"/>
    <x v="1"/>
    <x v="0"/>
  </r>
  <r>
    <n v="48"/>
    <n v="120"/>
    <n v="80"/>
    <n v="11"/>
    <x v="0"/>
    <n v="88"/>
    <x v="1"/>
    <x v="2"/>
    <x v="0"/>
    <x v="1"/>
    <x v="0"/>
    <x v="0"/>
  </r>
  <r>
    <n v="15"/>
    <n v="120"/>
    <n v="80"/>
    <n v="6.8"/>
    <x v="0"/>
    <n v="70"/>
    <x v="1"/>
    <x v="3"/>
    <x v="0"/>
    <x v="2"/>
    <x v="1"/>
    <x v="0"/>
  </r>
  <r>
    <n v="30"/>
    <n v="120"/>
    <n v="80"/>
    <n v="6.8"/>
    <x v="3"/>
    <n v="76"/>
    <x v="1"/>
    <x v="0"/>
    <x v="0"/>
    <x v="2"/>
    <x v="1"/>
    <x v="1"/>
  </r>
  <r>
    <n v="18"/>
    <n v="120"/>
    <n v="80"/>
    <n v="6.8"/>
    <x v="2"/>
    <n v="76"/>
    <x v="1"/>
    <x v="3"/>
    <x v="0"/>
    <x v="2"/>
    <x v="1"/>
    <x v="1"/>
  </r>
  <r>
    <n v="17"/>
    <n v="90"/>
    <n v="60"/>
    <n v="7.9"/>
    <x v="3"/>
    <n v="76"/>
    <x v="1"/>
    <x v="3"/>
    <x v="2"/>
    <x v="2"/>
    <x v="1"/>
    <x v="1"/>
  </r>
  <r>
    <n v="15"/>
    <n v="76"/>
    <n v="49"/>
    <n v="7.9"/>
    <x v="0"/>
    <n v="77"/>
    <x v="1"/>
    <x v="3"/>
    <x v="4"/>
    <x v="2"/>
    <x v="1"/>
    <x v="0"/>
  </r>
  <r>
    <n v="19"/>
    <n v="120"/>
    <n v="75"/>
    <n v="7.9"/>
    <x v="0"/>
    <n v="70"/>
    <x v="1"/>
    <x v="3"/>
    <x v="0"/>
    <x v="2"/>
    <x v="1"/>
    <x v="0"/>
  </r>
  <r>
    <n v="48"/>
    <n v="120"/>
    <n v="80"/>
    <n v="11"/>
    <x v="0"/>
    <n v="88"/>
    <x v="1"/>
    <x v="2"/>
    <x v="0"/>
    <x v="1"/>
    <x v="0"/>
    <x v="0"/>
  </r>
  <r>
    <n v="15"/>
    <n v="120"/>
    <n v="80"/>
    <n v="7.9"/>
    <x v="0"/>
    <n v="70"/>
    <x v="1"/>
    <x v="3"/>
    <x v="0"/>
    <x v="2"/>
    <x v="1"/>
    <x v="0"/>
  </r>
  <r>
    <n v="22"/>
    <n v="100"/>
    <n v="65"/>
    <n v="7.9"/>
    <x v="0"/>
    <n v="80"/>
    <x v="1"/>
    <x v="0"/>
    <x v="2"/>
    <x v="2"/>
    <x v="1"/>
    <x v="0"/>
  </r>
  <r>
    <n v="35"/>
    <n v="100"/>
    <n v="70"/>
    <n v="7.9"/>
    <x v="0"/>
    <n v="60"/>
    <x v="1"/>
    <x v="1"/>
    <x v="2"/>
    <x v="2"/>
    <x v="2"/>
    <x v="0"/>
  </r>
  <r>
    <n v="19"/>
    <n v="120"/>
    <n v="85"/>
    <n v="7.9"/>
    <x v="0"/>
    <n v="60"/>
    <x v="1"/>
    <x v="3"/>
    <x v="0"/>
    <x v="2"/>
    <x v="2"/>
    <x v="0"/>
  </r>
  <r>
    <n v="60"/>
    <n v="90"/>
    <n v="65"/>
    <n v="7.9"/>
    <x v="0"/>
    <n v="77"/>
    <x v="1"/>
    <x v="4"/>
    <x v="2"/>
    <x v="2"/>
    <x v="1"/>
    <x v="0"/>
  </r>
  <r>
    <n v="50"/>
    <n v="120"/>
    <n v="80"/>
    <n v="7.9"/>
    <x v="0"/>
    <n v="70"/>
    <x v="1"/>
    <x v="2"/>
    <x v="0"/>
    <x v="2"/>
    <x v="1"/>
    <x v="0"/>
  </r>
  <r>
    <n v="17"/>
    <n v="85"/>
    <n v="60"/>
    <n v="7.9"/>
    <x v="2"/>
    <n v="86"/>
    <x v="1"/>
    <x v="3"/>
    <x v="2"/>
    <x v="2"/>
    <x v="0"/>
    <x v="1"/>
  </r>
  <r>
    <n v="32"/>
    <n v="120"/>
    <n v="90"/>
    <n v="7.9"/>
    <x v="0"/>
    <n v="70"/>
    <x v="1"/>
    <x v="1"/>
    <x v="1"/>
    <x v="2"/>
    <x v="1"/>
    <x v="0"/>
  </r>
  <r>
    <n v="42"/>
    <n v="120"/>
    <n v="80"/>
    <n v="7.9"/>
    <x v="0"/>
    <n v="70"/>
    <x v="1"/>
    <x v="2"/>
    <x v="0"/>
    <x v="2"/>
    <x v="1"/>
    <x v="0"/>
  </r>
  <r>
    <n v="23"/>
    <n v="90"/>
    <n v="60"/>
    <n v="7.9"/>
    <x v="0"/>
    <n v="76"/>
    <x v="1"/>
    <x v="0"/>
    <x v="2"/>
    <x v="2"/>
    <x v="1"/>
    <x v="0"/>
  </r>
  <r>
    <n v="19"/>
    <n v="120"/>
    <n v="80"/>
    <n v="7"/>
    <x v="0"/>
    <n v="70"/>
    <x v="1"/>
    <x v="3"/>
    <x v="0"/>
    <x v="2"/>
    <x v="1"/>
    <x v="0"/>
  </r>
  <r>
    <n v="15"/>
    <n v="76"/>
    <n v="49"/>
    <n v="7.9"/>
    <x v="0"/>
    <n v="77"/>
    <x v="1"/>
    <x v="3"/>
    <x v="4"/>
    <x v="2"/>
    <x v="1"/>
    <x v="0"/>
  </r>
  <r>
    <n v="16"/>
    <n v="120"/>
    <n v="75"/>
    <n v="7.9"/>
    <x v="0"/>
    <n v="7"/>
    <x v="1"/>
    <x v="3"/>
    <x v="0"/>
    <x v="2"/>
    <x v="2"/>
    <x v="0"/>
  </r>
  <r>
    <n v="15"/>
    <n v="120"/>
    <n v="80"/>
    <n v="7.9"/>
    <x v="0"/>
    <n v="70"/>
    <x v="1"/>
    <x v="3"/>
    <x v="0"/>
    <x v="2"/>
    <x v="1"/>
    <x v="0"/>
  </r>
  <r>
    <n v="17"/>
    <n v="70"/>
    <n v="50"/>
    <n v="7.9"/>
    <x v="0"/>
    <n v="70"/>
    <x v="1"/>
    <x v="3"/>
    <x v="4"/>
    <x v="2"/>
    <x v="1"/>
    <x v="0"/>
  </r>
  <r>
    <n v="17"/>
    <n v="90"/>
    <n v="60"/>
    <n v="7.5"/>
    <x v="3"/>
    <n v="76"/>
    <x v="1"/>
    <x v="3"/>
    <x v="2"/>
    <x v="2"/>
    <x v="1"/>
    <x v="1"/>
  </r>
  <r>
    <n v="17"/>
    <n v="90"/>
    <n v="63"/>
    <n v="7.5"/>
    <x v="3"/>
    <n v="70"/>
    <x v="1"/>
    <x v="3"/>
    <x v="2"/>
    <x v="2"/>
    <x v="1"/>
    <x v="1"/>
  </r>
  <r>
    <n v="25"/>
    <n v="120"/>
    <n v="90"/>
    <n v="7.5"/>
    <x v="3"/>
    <n v="80"/>
    <x v="1"/>
    <x v="0"/>
    <x v="1"/>
    <x v="2"/>
    <x v="1"/>
    <x v="1"/>
  </r>
  <r>
    <n v="17"/>
    <n v="120"/>
    <n v="80"/>
    <n v="7.5"/>
    <x v="2"/>
    <n v="76"/>
    <x v="1"/>
    <x v="3"/>
    <x v="0"/>
    <x v="2"/>
    <x v="1"/>
    <x v="1"/>
  </r>
  <r>
    <n v="19"/>
    <n v="90"/>
    <n v="65"/>
    <n v="7.5"/>
    <x v="3"/>
    <n v="70"/>
    <x v="1"/>
    <x v="3"/>
    <x v="2"/>
    <x v="2"/>
    <x v="1"/>
    <x v="1"/>
  </r>
  <r>
    <n v="15"/>
    <n v="80"/>
    <n v="60"/>
    <n v="7.5"/>
    <x v="0"/>
    <n v="80"/>
    <x v="1"/>
    <x v="3"/>
    <x v="2"/>
    <x v="2"/>
    <x v="1"/>
    <x v="0"/>
  </r>
  <r>
    <n v="60"/>
    <n v="90"/>
    <n v="65"/>
    <n v="7.5"/>
    <x v="0"/>
    <n v="77"/>
    <x v="1"/>
    <x v="4"/>
    <x v="2"/>
    <x v="2"/>
    <x v="1"/>
    <x v="0"/>
  </r>
  <r>
    <n v="50"/>
    <n v="120"/>
    <n v="80"/>
    <n v="7.5"/>
    <x v="0"/>
    <n v="70"/>
    <x v="1"/>
    <x v="2"/>
    <x v="0"/>
    <x v="2"/>
    <x v="1"/>
    <x v="0"/>
  </r>
  <r>
    <n v="19"/>
    <n v="90"/>
    <n v="70"/>
    <n v="7.5"/>
    <x v="0"/>
    <n v="80"/>
    <x v="1"/>
    <x v="3"/>
    <x v="2"/>
    <x v="2"/>
    <x v="1"/>
    <x v="0"/>
  </r>
  <r>
    <n v="31"/>
    <n v="120"/>
    <n v="60"/>
    <n v="6.1"/>
    <x v="0"/>
    <n v="76"/>
    <x v="1"/>
    <x v="1"/>
    <x v="0"/>
    <x v="2"/>
    <x v="1"/>
    <x v="0"/>
  </r>
  <r>
    <n v="23"/>
    <n v="120"/>
    <n v="90"/>
    <n v="7.5"/>
    <x v="0"/>
    <n v="70"/>
    <x v="1"/>
    <x v="0"/>
    <x v="1"/>
    <x v="2"/>
    <x v="1"/>
    <x v="0"/>
  </r>
  <r>
    <n v="17"/>
    <n v="85"/>
    <n v="60"/>
    <n v="7.5"/>
    <x v="2"/>
    <n v="86"/>
    <x v="1"/>
    <x v="3"/>
    <x v="2"/>
    <x v="2"/>
    <x v="0"/>
    <x v="1"/>
  </r>
  <r>
    <n v="32"/>
    <n v="120"/>
    <n v="90"/>
    <n v="7.5"/>
    <x v="0"/>
    <n v="70"/>
    <x v="1"/>
    <x v="1"/>
    <x v="1"/>
    <x v="2"/>
    <x v="1"/>
    <x v="0"/>
  </r>
  <r>
    <n v="42"/>
    <n v="120"/>
    <n v="80"/>
    <n v="7.5"/>
    <x v="0"/>
    <n v="70"/>
    <x v="1"/>
    <x v="2"/>
    <x v="0"/>
    <x v="2"/>
    <x v="1"/>
    <x v="0"/>
  </r>
  <r>
    <n v="42"/>
    <n v="90"/>
    <n v="60"/>
    <n v="7.5"/>
    <x v="0"/>
    <n v="76"/>
    <x v="1"/>
    <x v="2"/>
    <x v="2"/>
    <x v="2"/>
    <x v="1"/>
    <x v="0"/>
  </r>
  <r>
    <n v="19"/>
    <n v="120"/>
    <n v="80"/>
    <n v="7"/>
    <x v="0"/>
    <n v="70"/>
    <x v="1"/>
    <x v="3"/>
    <x v="0"/>
    <x v="2"/>
    <x v="1"/>
    <x v="0"/>
  </r>
  <r>
    <n v="15"/>
    <n v="78"/>
    <n v="49"/>
    <n v="7.5"/>
    <x v="0"/>
    <n v="77"/>
    <x v="1"/>
    <x v="3"/>
    <x v="4"/>
    <x v="2"/>
    <x v="1"/>
    <x v="0"/>
  </r>
  <r>
    <n v="16"/>
    <n v="70"/>
    <n v="50"/>
    <n v="7.5"/>
    <x v="1"/>
    <n v="70"/>
    <x v="1"/>
    <x v="3"/>
    <x v="4"/>
    <x v="2"/>
    <x v="1"/>
    <x v="1"/>
  </r>
  <r>
    <n v="16"/>
    <n v="100"/>
    <n v="70"/>
    <n v="7.5"/>
    <x v="0"/>
    <n v="80"/>
    <x v="1"/>
    <x v="3"/>
    <x v="2"/>
    <x v="2"/>
    <x v="1"/>
    <x v="0"/>
  </r>
  <r>
    <n v="19"/>
    <n v="120"/>
    <n v="75"/>
    <n v="7.5"/>
    <x v="0"/>
    <n v="66"/>
    <x v="1"/>
    <x v="3"/>
    <x v="0"/>
    <x v="2"/>
    <x v="2"/>
    <x v="0"/>
  </r>
  <r>
    <n v="22"/>
    <n v="100"/>
    <n v="65"/>
    <n v="7.5"/>
    <x v="0"/>
    <n v="70"/>
    <x v="1"/>
    <x v="0"/>
    <x v="2"/>
    <x v="2"/>
    <x v="1"/>
    <x v="0"/>
  </r>
  <r>
    <n v="49"/>
    <n v="120"/>
    <n v="90"/>
    <n v="7.5"/>
    <x v="0"/>
    <n v="77"/>
    <x v="1"/>
    <x v="2"/>
    <x v="1"/>
    <x v="2"/>
    <x v="1"/>
    <x v="0"/>
  </r>
  <r>
    <n v="28"/>
    <n v="90"/>
    <n v="60"/>
    <n v="7.5"/>
    <x v="0"/>
    <n v="82"/>
    <x v="1"/>
    <x v="0"/>
    <x v="2"/>
    <x v="2"/>
    <x v="1"/>
    <x v="0"/>
  </r>
  <r>
    <n v="12"/>
    <n v="90"/>
    <n v="60"/>
    <n v="7.5"/>
    <x v="2"/>
    <n v="66"/>
    <x v="1"/>
    <x v="3"/>
    <x v="2"/>
    <x v="2"/>
    <x v="2"/>
    <x v="1"/>
  </r>
  <r>
    <n v="20"/>
    <n v="100"/>
    <n v="90"/>
    <n v="7.5"/>
    <x v="0"/>
    <n v="88"/>
    <x v="1"/>
    <x v="3"/>
    <x v="1"/>
    <x v="2"/>
    <x v="0"/>
    <x v="0"/>
  </r>
  <r>
    <n v="23"/>
    <n v="100"/>
    <n v="85"/>
    <n v="7.5"/>
    <x v="0"/>
    <n v="66"/>
    <x v="1"/>
    <x v="0"/>
    <x v="0"/>
    <x v="2"/>
    <x v="2"/>
    <x v="0"/>
  </r>
  <r>
    <n v="22"/>
    <n v="120"/>
    <n v="90"/>
    <n v="7.5"/>
    <x v="0"/>
    <n v="82"/>
    <x v="1"/>
    <x v="0"/>
    <x v="1"/>
    <x v="2"/>
    <x v="1"/>
    <x v="0"/>
  </r>
  <r>
    <n v="21"/>
    <n v="120"/>
    <n v="80"/>
    <n v="7.5"/>
    <x v="0"/>
    <n v="77"/>
    <x v="1"/>
    <x v="0"/>
    <x v="0"/>
    <x v="2"/>
    <x v="1"/>
    <x v="0"/>
  </r>
  <r>
    <n v="21"/>
    <n v="75"/>
    <n v="50"/>
    <n v="7.5"/>
    <x v="0"/>
    <n v="60"/>
    <x v="1"/>
    <x v="0"/>
    <x v="4"/>
    <x v="2"/>
    <x v="2"/>
    <x v="0"/>
  </r>
  <r>
    <n v="12"/>
    <n v="90"/>
    <n v="60"/>
    <n v="7.5"/>
    <x v="2"/>
    <n v="60"/>
    <x v="1"/>
    <x v="3"/>
    <x v="2"/>
    <x v="2"/>
    <x v="2"/>
    <x v="1"/>
  </r>
  <r>
    <n v="60"/>
    <n v="120"/>
    <n v="80"/>
    <n v="7.5"/>
    <x v="0"/>
    <n v="75"/>
    <x v="1"/>
    <x v="4"/>
    <x v="0"/>
    <x v="2"/>
    <x v="1"/>
    <x v="0"/>
  </r>
  <r>
    <n v="55"/>
    <n v="100"/>
    <n v="65"/>
    <n v="7.5"/>
    <x v="0"/>
    <n v="66"/>
    <x v="1"/>
    <x v="4"/>
    <x v="2"/>
    <x v="2"/>
    <x v="2"/>
    <x v="0"/>
  </r>
  <r>
    <n v="45"/>
    <n v="120"/>
    <n v="95"/>
    <n v="7.5"/>
    <x v="0"/>
    <n v="66"/>
    <x v="1"/>
    <x v="2"/>
    <x v="1"/>
    <x v="2"/>
    <x v="2"/>
    <x v="0"/>
  </r>
  <r>
    <n v="35"/>
    <n v="100"/>
    <n v="70"/>
    <n v="7.5"/>
    <x v="0"/>
    <n v="66"/>
    <x v="1"/>
    <x v="1"/>
    <x v="2"/>
    <x v="2"/>
    <x v="2"/>
    <x v="0"/>
  </r>
  <r>
    <n v="22"/>
    <n v="120"/>
    <n v="85"/>
    <n v="7.5"/>
    <x v="0"/>
    <n v="88"/>
    <x v="1"/>
    <x v="0"/>
    <x v="0"/>
    <x v="2"/>
    <x v="0"/>
    <x v="0"/>
  </r>
  <r>
    <n v="13"/>
    <n v="90"/>
    <n v="65"/>
    <n v="7.5"/>
    <x v="3"/>
    <n v="80"/>
    <x v="1"/>
    <x v="3"/>
    <x v="2"/>
    <x v="2"/>
    <x v="1"/>
    <x v="1"/>
  </r>
  <r>
    <n v="23"/>
    <n v="120"/>
    <n v="90"/>
    <n v="7.5"/>
    <x v="0"/>
    <n v="60"/>
    <x v="1"/>
    <x v="0"/>
    <x v="1"/>
    <x v="2"/>
    <x v="2"/>
    <x v="0"/>
  </r>
  <r>
    <n v="17"/>
    <n v="90"/>
    <n v="65"/>
    <n v="7.5"/>
    <x v="4"/>
    <n v="67"/>
    <x v="1"/>
    <x v="3"/>
    <x v="2"/>
    <x v="2"/>
    <x v="2"/>
    <x v="1"/>
  </r>
  <r>
    <n v="59"/>
    <n v="120"/>
    <n v="80"/>
    <n v="7.5"/>
    <x v="0"/>
    <n v="70"/>
    <x v="1"/>
    <x v="4"/>
    <x v="0"/>
    <x v="2"/>
    <x v="1"/>
    <x v="0"/>
  </r>
  <r>
    <n v="23"/>
    <n v="120"/>
    <n v="80"/>
    <n v="7.5"/>
    <x v="0"/>
    <n v="70"/>
    <x v="1"/>
    <x v="0"/>
    <x v="0"/>
    <x v="2"/>
    <x v="1"/>
    <x v="0"/>
  </r>
  <r>
    <n v="17"/>
    <n v="85"/>
    <n v="60"/>
    <n v="7.5"/>
    <x v="2"/>
    <n v="86"/>
    <x v="1"/>
    <x v="3"/>
    <x v="2"/>
    <x v="2"/>
    <x v="0"/>
    <x v="1"/>
  </r>
  <r>
    <n v="32"/>
    <n v="120"/>
    <n v="90"/>
    <n v="7.5"/>
    <x v="0"/>
    <n v="70"/>
    <x v="1"/>
    <x v="1"/>
    <x v="1"/>
    <x v="2"/>
    <x v="1"/>
    <x v="0"/>
  </r>
  <r>
    <n v="42"/>
    <n v="120"/>
    <n v="80"/>
    <n v="7.5"/>
    <x v="0"/>
    <n v="70"/>
    <x v="1"/>
    <x v="2"/>
    <x v="0"/>
    <x v="2"/>
    <x v="1"/>
    <x v="0"/>
  </r>
  <r>
    <n v="25"/>
    <n v="140"/>
    <n v="100"/>
    <n v="7.01"/>
    <x v="0"/>
    <n v="80"/>
    <x v="0"/>
    <x v="0"/>
    <x v="3"/>
    <x v="2"/>
    <x v="1"/>
    <x v="0"/>
  </r>
  <r>
    <n v="40"/>
    <n v="140"/>
    <n v="100"/>
    <n v="18"/>
    <x v="0"/>
    <n v="90"/>
    <x v="0"/>
    <x v="1"/>
    <x v="3"/>
    <x v="0"/>
    <x v="0"/>
    <x v="0"/>
  </r>
  <r>
    <n v="32"/>
    <n v="140"/>
    <n v="100"/>
    <n v="6.9"/>
    <x v="0"/>
    <n v="78"/>
    <x v="0"/>
    <x v="1"/>
    <x v="3"/>
    <x v="2"/>
    <x v="1"/>
    <x v="0"/>
  </r>
  <r>
    <n v="14"/>
    <n v="90"/>
    <n v="65"/>
    <n v="7"/>
    <x v="3"/>
    <n v="70"/>
    <x v="0"/>
    <x v="3"/>
    <x v="2"/>
    <x v="2"/>
    <x v="1"/>
    <x v="1"/>
  </r>
  <r>
    <n v="37"/>
    <n v="120"/>
    <n v="90"/>
    <n v="11"/>
    <x v="0"/>
    <n v="88"/>
    <x v="0"/>
    <x v="1"/>
    <x v="1"/>
    <x v="1"/>
    <x v="0"/>
    <x v="0"/>
  </r>
  <r>
    <n v="17"/>
    <n v="110"/>
    <n v="75"/>
    <n v="12"/>
    <x v="3"/>
    <n v="76"/>
    <x v="0"/>
    <x v="3"/>
    <x v="2"/>
    <x v="0"/>
    <x v="1"/>
    <x v="1"/>
  </r>
  <r>
    <n v="40"/>
    <n v="120"/>
    <n v="90"/>
    <n v="12"/>
    <x v="0"/>
    <n v="80"/>
    <x v="0"/>
    <x v="1"/>
    <x v="1"/>
    <x v="0"/>
    <x v="1"/>
    <x v="0"/>
  </r>
  <r>
    <n v="40"/>
    <n v="160"/>
    <n v="100"/>
    <n v="19"/>
    <x v="0"/>
    <n v="77"/>
    <x v="0"/>
    <x v="1"/>
    <x v="3"/>
    <x v="0"/>
    <x v="1"/>
    <x v="0"/>
  </r>
  <r>
    <n v="32"/>
    <n v="140"/>
    <n v="90"/>
    <n v="18"/>
    <x v="0"/>
    <n v="88"/>
    <x v="0"/>
    <x v="1"/>
    <x v="1"/>
    <x v="0"/>
    <x v="0"/>
    <x v="0"/>
  </r>
  <r>
    <n v="12"/>
    <n v="90"/>
    <n v="60"/>
    <n v="7.9"/>
    <x v="2"/>
    <n v="66"/>
    <x v="0"/>
    <x v="3"/>
    <x v="2"/>
    <x v="2"/>
    <x v="2"/>
    <x v="1"/>
  </r>
  <r>
    <n v="35"/>
    <n v="140"/>
    <n v="100"/>
    <n v="8"/>
    <x v="0"/>
    <n v="66"/>
    <x v="0"/>
    <x v="1"/>
    <x v="3"/>
    <x v="1"/>
    <x v="2"/>
    <x v="0"/>
  </r>
  <r>
    <n v="54"/>
    <n v="140"/>
    <n v="100"/>
    <n v="15"/>
    <x v="0"/>
    <n v="66"/>
    <x v="0"/>
    <x v="4"/>
    <x v="3"/>
    <x v="0"/>
    <x v="2"/>
    <x v="0"/>
  </r>
  <r>
    <n v="40"/>
    <n v="120"/>
    <n v="95"/>
    <n v="11"/>
    <x v="0"/>
    <n v="80"/>
    <x v="0"/>
    <x v="1"/>
    <x v="1"/>
    <x v="1"/>
    <x v="1"/>
    <x v="0"/>
  </r>
  <r>
    <n v="60"/>
    <n v="120"/>
    <n v="85"/>
    <n v="15"/>
    <x v="0"/>
    <n v="60"/>
    <x v="0"/>
    <x v="4"/>
    <x v="0"/>
    <x v="0"/>
    <x v="2"/>
    <x v="0"/>
  </r>
  <r>
    <n v="55"/>
    <n v="140"/>
    <n v="95"/>
    <n v="19"/>
    <x v="0"/>
    <n v="77"/>
    <x v="0"/>
    <x v="4"/>
    <x v="1"/>
    <x v="0"/>
    <x v="1"/>
    <x v="0"/>
  </r>
  <r>
    <n v="50"/>
    <n v="130"/>
    <n v="100"/>
    <n v="16"/>
    <x v="0"/>
    <n v="75"/>
    <x v="0"/>
    <x v="2"/>
    <x v="3"/>
    <x v="0"/>
    <x v="1"/>
    <x v="0"/>
  </r>
  <r>
    <n v="17"/>
    <n v="90"/>
    <n v="65"/>
    <n v="6.1"/>
    <x v="4"/>
    <n v="67"/>
    <x v="0"/>
    <x v="3"/>
    <x v="2"/>
    <x v="2"/>
    <x v="2"/>
    <x v="1"/>
  </r>
  <r>
    <n v="28"/>
    <n v="83"/>
    <n v="60"/>
    <n v="8"/>
    <x v="3"/>
    <n v="86"/>
    <x v="0"/>
    <x v="0"/>
    <x v="2"/>
    <x v="1"/>
    <x v="0"/>
    <x v="1"/>
  </r>
  <r>
    <n v="50"/>
    <n v="120"/>
    <n v="80"/>
    <n v="15"/>
    <x v="0"/>
    <n v="70"/>
    <x v="0"/>
    <x v="2"/>
    <x v="0"/>
    <x v="0"/>
    <x v="1"/>
    <x v="0"/>
  </r>
  <r>
    <n v="17"/>
    <n v="85"/>
    <n v="60"/>
    <n v="9"/>
    <x v="2"/>
    <n v="86"/>
    <x v="0"/>
    <x v="3"/>
    <x v="2"/>
    <x v="1"/>
    <x v="0"/>
    <x v="1"/>
  </r>
  <r>
    <n v="33"/>
    <n v="120"/>
    <n v="75"/>
    <n v="10"/>
    <x v="0"/>
    <n v="70"/>
    <x v="0"/>
    <x v="1"/>
    <x v="0"/>
    <x v="1"/>
    <x v="1"/>
    <x v="0"/>
  </r>
  <r>
    <n v="48"/>
    <n v="120"/>
    <n v="80"/>
    <n v="11"/>
    <x v="0"/>
    <n v="88"/>
    <x v="0"/>
    <x v="2"/>
    <x v="0"/>
    <x v="1"/>
    <x v="0"/>
    <x v="0"/>
  </r>
  <r>
    <n v="50"/>
    <n v="140"/>
    <n v="95"/>
    <n v="17"/>
    <x v="0"/>
    <n v="60"/>
    <x v="0"/>
    <x v="2"/>
    <x v="1"/>
    <x v="0"/>
    <x v="2"/>
    <x v="0"/>
  </r>
  <r>
    <n v="30"/>
    <n v="140"/>
    <n v="100"/>
    <n v="15"/>
    <x v="0"/>
    <n v="70"/>
    <x v="0"/>
    <x v="0"/>
    <x v="3"/>
    <x v="0"/>
    <x v="1"/>
    <x v="0"/>
  </r>
  <r>
    <n v="29"/>
    <n v="120"/>
    <n v="75"/>
    <n v="7.2"/>
    <x v="1"/>
    <n v="70"/>
    <x v="0"/>
    <x v="0"/>
    <x v="0"/>
    <x v="2"/>
    <x v="1"/>
    <x v="1"/>
  </r>
  <r>
    <n v="48"/>
    <n v="120"/>
    <n v="80"/>
    <n v="11"/>
    <x v="0"/>
    <n v="88"/>
    <x v="0"/>
    <x v="2"/>
    <x v="0"/>
    <x v="1"/>
    <x v="0"/>
    <x v="0"/>
  </r>
  <r>
    <n v="50"/>
    <n v="140"/>
    <n v="90"/>
    <n v="15"/>
    <x v="0"/>
    <n v="77"/>
    <x v="0"/>
    <x v="2"/>
    <x v="1"/>
    <x v="0"/>
    <x v="1"/>
    <x v="0"/>
  </r>
  <r>
    <n v="25"/>
    <n v="140"/>
    <n v="100"/>
    <n v="7.2"/>
    <x v="0"/>
    <n v="80"/>
    <x v="0"/>
    <x v="0"/>
    <x v="3"/>
    <x v="2"/>
    <x v="1"/>
    <x v="0"/>
  </r>
  <r>
    <n v="55"/>
    <n v="140"/>
    <n v="80"/>
    <n v="7.2"/>
    <x v="3"/>
    <n v="76"/>
    <x v="0"/>
    <x v="4"/>
    <x v="1"/>
    <x v="2"/>
    <x v="1"/>
    <x v="1"/>
  </r>
  <r>
    <n v="40"/>
    <n v="140"/>
    <n v="100"/>
    <n v="18"/>
    <x v="0"/>
    <n v="77"/>
    <x v="0"/>
    <x v="1"/>
    <x v="3"/>
    <x v="0"/>
    <x v="1"/>
    <x v="0"/>
  </r>
  <r>
    <n v="28"/>
    <n v="120"/>
    <n v="80"/>
    <n v="9"/>
    <x v="2"/>
    <n v="76"/>
    <x v="0"/>
    <x v="0"/>
    <x v="0"/>
    <x v="1"/>
    <x v="1"/>
    <x v="1"/>
  </r>
  <r>
    <n v="32"/>
    <n v="140"/>
    <n v="100"/>
    <n v="8"/>
    <x v="0"/>
    <n v="70"/>
    <x v="0"/>
    <x v="1"/>
    <x v="3"/>
    <x v="1"/>
    <x v="1"/>
    <x v="0"/>
  </r>
  <r>
    <n v="17"/>
    <n v="90"/>
    <n v="60"/>
    <n v="11"/>
    <x v="3"/>
    <n v="78"/>
    <x v="0"/>
    <x v="3"/>
    <x v="2"/>
    <x v="1"/>
    <x v="1"/>
    <x v="1"/>
  </r>
  <r>
    <n v="17"/>
    <n v="90"/>
    <n v="63"/>
    <n v="8"/>
    <x v="3"/>
    <n v="70"/>
    <x v="0"/>
    <x v="3"/>
    <x v="2"/>
    <x v="1"/>
    <x v="1"/>
    <x v="1"/>
  </r>
  <r>
    <n v="25"/>
    <n v="120"/>
    <n v="90"/>
    <n v="12"/>
    <x v="3"/>
    <n v="80"/>
    <x v="0"/>
    <x v="0"/>
    <x v="1"/>
    <x v="0"/>
    <x v="1"/>
    <x v="1"/>
  </r>
  <r>
    <n v="17"/>
    <n v="120"/>
    <n v="80"/>
    <n v="7"/>
    <x v="2"/>
    <n v="76"/>
    <x v="0"/>
    <x v="3"/>
    <x v="0"/>
    <x v="2"/>
    <x v="1"/>
    <x v="1"/>
  </r>
  <r>
    <n v="19"/>
    <n v="90"/>
    <n v="65"/>
    <n v="11"/>
    <x v="3"/>
    <n v="70"/>
    <x v="0"/>
    <x v="3"/>
    <x v="2"/>
    <x v="1"/>
    <x v="1"/>
    <x v="1"/>
  </r>
  <r>
    <n v="37"/>
    <n v="120"/>
    <n v="90"/>
    <n v="11"/>
    <x v="0"/>
    <n v="88"/>
    <x v="0"/>
    <x v="1"/>
    <x v="1"/>
    <x v="1"/>
    <x v="0"/>
    <x v="0"/>
  </r>
  <r>
    <n v="17"/>
    <n v="110"/>
    <n v="75"/>
    <n v="13"/>
    <x v="3"/>
    <n v="76"/>
    <x v="0"/>
    <x v="3"/>
    <x v="2"/>
    <x v="0"/>
    <x v="1"/>
    <x v="1"/>
  </r>
  <r>
    <n v="25"/>
    <n v="120"/>
    <n v="90"/>
    <n v="15"/>
    <x v="0"/>
    <n v="80"/>
    <x v="0"/>
    <x v="0"/>
    <x v="1"/>
    <x v="0"/>
    <x v="1"/>
    <x v="0"/>
  </r>
  <r>
    <n v="40"/>
    <n v="160"/>
    <n v="100"/>
    <n v="19"/>
    <x v="0"/>
    <n v="77"/>
    <x v="0"/>
    <x v="1"/>
    <x v="3"/>
    <x v="0"/>
    <x v="1"/>
    <x v="0"/>
  </r>
  <r>
    <n v="32"/>
    <n v="140"/>
    <n v="90"/>
    <n v="18"/>
    <x v="0"/>
    <n v="88"/>
    <x v="0"/>
    <x v="1"/>
    <x v="1"/>
    <x v="0"/>
    <x v="0"/>
    <x v="0"/>
  </r>
  <r>
    <n v="12"/>
    <n v="90"/>
    <n v="60"/>
    <n v="8"/>
    <x v="2"/>
    <n v="66"/>
    <x v="0"/>
    <x v="3"/>
    <x v="2"/>
    <x v="1"/>
    <x v="2"/>
    <x v="1"/>
  </r>
  <r>
    <n v="35"/>
    <n v="140"/>
    <n v="100"/>
    <n v="9"/>
    <x v="0"/>
    <n v="66"/>
    <x v="0"/>
    <x v="1"/>
    <x v="3"/>
    <x v="1"/>
    <x v="2"/>
    <x v="0"/>
  </r>
  <r>
    <n v="54"/>
    <n v="140"/>
    <n v="100"/>
    <n v="15"/>
    <x v="0"/>
    <n v="66"/>
    <x v="0"/>
    <x v="4"/>
    <x v="3"/>
    <x v="0"/>
    <x v="2"/>
    <x v="0"/>
  </r>
  <r>
    <n v="40"/>
    <n v="120"/>
    <n v="95"/>
    <n v="11"/>
    <x v="0"/>
    <n v="80"/>
    <x v="0"/>
    <x v="1"/>
    <x v="1"/>
    <x v="1"/>
    <x v="1"/>
    <x v="0"/>
  </r>
  <r>
    <n v="12"/>
    <n v="90"/>
    <n v="60"/>
    <n v="11"/>
    <x v="2"/>
    <n v="60"/>
    <x v="0"/>
    <x v="3"/>
    <x v="2"/>
    <x v="1"/>
    <x v="2"/>
    <x v="1"/>
  </r>
  <r>
    <n v="60"/>
    <n v="120"/>
    <n v="85"/>
    <n v="15"/>
    <x v="0"/>
    <n v="60"/>
    <x v="0"/>
    <x v="4"/>
    <x v="0"/>
    <x v="0"/>
    <x v="2"/>
    <x v="0"/>
  </r>
  <r>
    <n v="55"/>
    <n v="140"/>
    <n v="95"/>
    <n v="19"/>
    <x v="0"/>
    <n v="77"/>
    <x v="0"/>
    <x v="4"/>
    <x v="1"/>
    <x v="0"/>
    <x v="1"/>
    <x v="0"/>
  </r>
  <r>
    <n v="50"/>
    <n v="130"/>
    <n v="100"/>
    <n v="16"/>
    <x v="0"/>
    <n v="76"/>
    <x v="0"/>
    <x v="2"/>
    <x v="3"/>
    <x v="0"/>
    <x v="1"/>
    <x v="0"/>
  </r>
  <r>
    <n v="13"/>
    <n v="90"/>
    <n v="65"/>
    <n v="9"/>
    <x v="3"/>
    <n v="80"/>
    <x v="0"/>
    <x v="3"/>
    <x v="2"/>
    <x v="1"/>
    <x v="1"/>
    <x v="1"/>
  </r>
  <r>
    <n v="17"/>
    <n v="90"/>
    <n v="65"/>
    <n v="7.7"/>
    <x v="4"/>
    <n v="67"/>
    <x v="0"/>
    <x v="3"/>
    <x v="2"/>
    <x v="2"/>
    <x v="2"/>
    <x v="1"/>
  </r>
  <r>
    <n v="17"/>
    <n v="85"/>
    <n v="60"/>
    <n v="6.3"/>
    <x v="2"/>
    <n v="86"/>
    <x v="0"/>
    <x v="3"/>
    <x v="2"/>
    <x v="2"/>
    <x v="0"/>
    <x v="1"/>
  </r>
  <r>
    <n v="40"/>
    <n v="120"/>
    <n v="75"/>
    <n v="7.7"/>
    <x v="0"/>
    <n v="70"/>
    <x v="0"/>
    <x v="1"/>
    <x v="0"/>
    <x v="2"/>
    <x v="1"/>
    <x v="0"/>
  </r>
  <r>
    <n v="48"/>
    <n v="120"/>
    <n v="80"/>
    <n v="11"/>
    <x v="0"/>
    <n v="88"/>
    <x v="0"/>
    <x v="2"/>
    <x v="0"/>
    <x v="1"/>
    <x v="0"/>
    <x v="0"/>
  </r>
  <r>
    <n v="22"/>
    <n v="120"/>
    <n v="60"/>
    <n v="15"/>
    <x v="0"/>
    <n v="80"/>
    <x v="0"/>
    <x v="0"/>
    <x v="0"/>
    <x v="0"/>
    <x v="1"/>
    <x v="0"/>
  </r>
  <r>
    <n v="55"/>
    <n v="120"/>
    <n v="90"/>
    <n v="18"/>
    <x v="0"/>
    <n v="60"/>
    <x v="0"/>
    <x v="4"/>
    <x v="1"/>
    <x v="0"/>
    <x v="2"/>
    <x v="0"/>
  </r>
  <r>
    <n v="35"/>
    <n v="85"/>
    <n v="60"/>
    <n v="19"/>
    <x v="0"/>
    <n v="86"/>
    <x v="0"/>
    <x v="1"/>
    <x v="2"/>
    <x v="0"/>
    <x v="0"/>
    <x v="0"/>
  </r>
  <r>
    <n v="43"/>
    <n v="120"/>
    <n v="90"/>
    <n v="18"/>
    <x v="0"/>
    <n v="70"/>
    <x v="0"/>
    <x v="2"/>
    <x v="1"/>
    <x v="0"/>
    <x v="1"/>
    <x v="0"/>
  </r>
  <r>
    <n v="32"/>
    <n v="120"/>
    <n v="65"/>
    <n v="6"/>
    <x v="3"/>
    <n v="76"/>
    <x v="2"/>
    <x v="1"/>
    <x v="0"/>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D69CD-7588-44F2-B330-326F7BCEDA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2">
    <pivotField showAll="0"/>
    <pivotField showAll="0"/>
    <pivotField showAll="0"/>
    <pivotField dataField="1" showAll="0"/>
    <pivotField showAll="0"/>
    <pivotField showAll="0"/>
    <pivotField axis="axisRow" showAll="0">
      <items count="4">
        <item x="0"/>
        <item x="1"/>
        <item x="2"/>
        <item t="default"/>
      </items>
    </pivotField>
    <pivotField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showAll="0">
      <items count="3">
        <item x="1"/>
        <item x="0"/>
        <item t="default"/>
      </items>
    </pivotField>
  </pivotFields>
  <rowFields count="1">
    <field x="6"/>
  </rowFields>
  <rowItems count="4">
    <i>
      <x/>
    </i>
    <i>
      <x v="1"/>
    </i>
    <i>
      <x v="2"/>
    </i>
    <i t="grand">
      <x/>
    </i>
  </rowItems>
  <colItems count="1">
    <i/>
  </colItems>
  <dataFields count="1">
    <dataField name="Average of BS" fld="3" subtotal="average" baseField="6" baseItem="0" numFmtId="2"/>
  </dataFields>
  <formats count="1">
    <format dxfId="7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B0857-14A4-46BB-B9B9-6352B26774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12">
    <pivotField showAll="0"/>
    <pivotField dataField="1" showAll="0"/>
    <pivotField dataField="1" showAll="0"/>
    <pivotField showAll="0"/>
    <pivotField showAll="0"/>
    <pivotField showAll="0"/>
    <pivotField axis="axisRow" showAll="0">
      <items count="4">
        <item x="0"/>
        <item x="1"/>
        <item x="2"/>
        <item t="default"/>
      </items>
    </pivotField>
    <pivotField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showAll="0">
      <items count="3">
        <item x="1"/>
        <item x="0"/>
        <item t="default"/>
      </items>
    </pivotField>
  </pivotFields>
  <rowFields count="1">
    <field x="6"/>
  </rowFields>
  <rowItems count="4">
    <i>
      <x/>
    </i>
    <i>
      <x v="1"/>
    </i>
    <i>
      <x v="2"/>
    </i>
    <i t="grand">
      <x/>
    </i>
  </rowItems>
  <colFields count="1">
    <field x="-2"/>
  </colFields>
  <colItems count="2">
    <i>
      <x/>
    </i>
    <i i="1">
      <x v="1"/>
    </i>
  </colItems>
  <dataFields count="2">
    <dataField name="Average of SystolicBP" fld="1" subtotal="average" baseField="6" baseItem="0"/>
    <dataField name="Average of DiastolicBP" fld="2" subtotal="average" baseField="6" baseItem="0"/>
  </dataFields>
  <formats count="1">
    <format dxfId="7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CB5138-4CC6-48BC-87E7-3FEECAF9BC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0" firstHeaderRow="1" firstDataRow="2" firstDataCol="1"/>
  <pivotFields count="12">
    <pivotField dataField="1" showAll="0"/>
    <pivotField showAll="0"/>
    <pivotField showAll="0"/>
    <pivotField showAll="0"/>
    <pivotField showAll="0"/>
    <pivotField showAll="0"/>
    <pivotField axis="axisCol" showAll="0">
      <items count="4">
        <item x="0"/>
        <item x="1"/>
        <item x="2"/>
        <item t="default"/>
      </items>
    </pivotField>
    <pivotField axis="axisRow"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showAll="0">
      <items count="3">
        <item x="1"/>
        <item x="0"/>
        <item t="default"/>
      </items>
    </pivotField>
  </pivotFields>
  <rowFields count="1">
    <field x="7"/>
  </rowFields>
  <rowItems count="6">
    <i>
      <x/>
    </i>
    <i>
      <x v="1"/>
    </i>
    <i>
      <x v="2"/>
    </i>
    <i>
      <x v="3"/>
    </i>
    <i>
      <x v="4"/>
    </i>
    <i t="grand">
      <x/>
    </i>
  </rowItems>
  <colFields count="1">
    <field x="6"/>
  </colFields>
  <colItems count="4">
    <i>
      <x/>
    </i>
    <i>
      <x v="1"/>
    </i>
    <i>
      <x v="2"/>
    </i>
    <i t="grand">
      <x/>
    </i>
  </colItems>
  <dataFields count="1">
    <dataField name="Average of Age" fld="0" subtotal="average" baseField="7" baseItem="0" numFmtId="2"/>
  </dataFields>
  <formats count="1">
    <format dxfId="73">
      <pivotArea outline="0" collapsedLevelsAreSubtotals="1"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89617-7568-4E5C-B13F-2BCB2D6C4B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2">
    <pivotField showAll="0"/>
    <pivotField showAll="0"/>
    <pivotField showAll="0"/>
    <pivotField dataField="1" showAll="0"/>
    <pivotField showAll="0"/>
    <pivotField showAll="0"/>
    <pivotField showAll="0">
      <items count="4">
        <item x="0"/>
        <item x="1"/>
        <item x="2"/>
        <item t="default"/>
      </items>
    </pivotField>
    <pivotField axis="axisRow"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Average of BS" fld="3" subtotal="average" baseField="7" baseItem="0" numFmtId="2"/>
  </dataFields>
  <formats count="1">
    <format dxfId="7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0A90E-5A70-4003-AE45-7163914623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0" firstHeaderRow="1" firstDataRow="2" firstDataCol="1"/>
  <pivotFields count="12">
    <pivotField showAll="0"/>
    <pivotField showAll="0"/>
    <pivotField showAll="0"/>
    <pivotField showAll="0"/>
    <pivotField showAll="0"/>
    <pivotField dataField="1" showAll="0"/>
    <pivotField axis="axisCol" showAll="0">
      <items count="4">
        <item x="0"/>
        <item x="1"/>
        <item x="2"/>
        <item t="default"/>
      </items>
    </pivotField>
    <pivotField axis="axisRow"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showAll="0">
      <items count="3">
        <item x="1"/>
        <item x="0"/>
        <item t="default"/>
      </items>
    </pivotField>
  </pivotFields>
  <rowFields count="1">
    <field x="7"/>
  </rowFields>
  <rowItems count="6">
    <i>
      <x/>
    </i>
    <i>
      <x v="1"/>
    </i>
    <i>
      <x v="2"/>
    </i>
    <i>
      <x v="3"/>
    </i>
    <i>
      <x v="4"/>
    </i>
    <i t="grand">
      <x/>
    </i>
  </rowItems>
  <colFields count="1">
    <field x="6"/>
  </colFields>
  <colItems count="4">
    <i>
      <x/>
    </i>
    <i>
      <x v="1"/>
    </i>
    <i>
      <x v="2"/>
    </i>
    <i t="grand">
      <x/>
    </i>
  </colItems>
  <dataFields count="1">
    <dataField name="Average of HeartRate" fld="5" subtotal="average" baseField="7" baseItem="0" numFmtId="2"/>
  </dataFields>
  <formats count="1">
    <format dxfId="71">
      <pivotArea outline="0" collapsedLevelsAreSubtotals="1"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8" format="6" series="1">
      <pivotArea type="data" outline="0" fieldPosition="0">
        <references count="2">
          <reference field="4294967294" count="1" selected="0">
            <x v="0"/>
          </reference>
          <reference field="6" count="1" selected="0">
            <x v="0"/>
          </reference>
        </references>
      </pivotArea>
    </chartFormat>
    <chartFormat chart="8" format="7" series="1">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5EA968-2F03-4DA7-8FBB-CA11FF4EAE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7" firstHeaderRow="1" firstDataRow="2" firstDataCol="1"/>
  <pivotFields count="12">
    <pivotField showAll="0"/>
    <pivotField showAll="0"/>
    <pivotField showAll="0"/>
    <pivotField showAll="0"/>
    <pivotField dataField="1" showAll="0">
      <items count="9">
        <item x="0"/>
        <item x="5"/>
        <item x="7"/>
        <item x="6"/>
        <item x="1"/>
        <item x="3"/>
        <item x="2"/>
        <item x="4"/>
        <item t="default"/>
      </items>
    </pivotField>
    <pivotField showAll="0"/>
    <pivotField axis="axisCol" showAll="0">
      <items count="4">
        <item x="0"/>
        <item x="1"/>
        <item x="2"/>
        <item t="default"/>
      </items>
    </pivotField>
    <pivotField showAll="0">
      <items count="6">
        <item x="3"/>
        <item x="0"/>
        <item x="1"/>
        <item x="2"/>
        <item x="4"/>
        <item t="default"/>
      </items>
    </pivotField>
    <pivotField showAll="0">
      <items count="6">
        <item x="3"/>
        <item x="1"/>
        <item x="4"/>
        <item x="2"/>
        <item x="0"/>
        <item t="default"/>
      </items>
    </pivotField>
    <pivotField showAll="0">
      <items count="4">
        <item x="0"/>
        <item x="2"/>
        <item x="1"/>
        <item t="default"/>
      </items>
    </pivotField>
    <pivotField showAll="0">
      <items count="4">
        <item x="0"/>
        <item x="2"/>
        <item x="1"/>
        <item t="default"/>
      </items>
    </pivotField>
    <pivotField axis="axisRow" showAll="0">
      <items count="3">
        <item x="1"/>
        <item x="0"/>
        <item t="default"/>
      </items>
    </pivotField>
  </pivotFields>
  <rowFields count="1">
    <field x="11"/>
  </rowFields>
  <rowItems count="3">
    <i>
      <x/>
    </i>
    <i>
      <x v="1"/>
    </i>
    <i t="grand">
      <x/>
    </i>
  </rowItems>
  <colFields count="1">
    <field x="6"/>
  </colFields>
  <colItems count="4">
    <i>
      <x/>
    </i>
    <i>
      <x v="1"/>
    </i>
    <i>
      <x v="2"/>
    </i>
    <i t="grand">
      <x/>
    </i>
  </colItems>
  <dataFields count="1">
    <dataField name="Count of BodyTemp" fld="4"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7" format="6" series="1">
      <pivotArea type="data" outline="0" fieldPosition="0">
        <references count="2">
          <reference field="4294967294" count="1" selected="0">
            <x v="0"/>
          </reference>
          <reference field="6" count="1" selected="0">
            <x v="0"/>
          </reference>
        </references>
      </pivotArea>
    </chartFormat>
    <chartFormat chart="7" format="7" series="1">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6" count="1" selected="0">
            <x v="2"/>
          </reference>
        </references>
      </pivotArea>
    </chartFormat>
    <chartFormat chart="7" format="9">
      <pivotArea type="data" outline="0" fieldPosition="0">
        <references count="3">
          <reference field="4294967294" count="1" selected="0">
            <x v="0"/>
          </reference>
          <reference field="6" count="1" selected="0">
            <x v="1"/>
          </reference>
          <reference field="11" count="1" selected="0">
            <x v="1"/>
          </reference>
        </references>
      </pivotArea>
    </chartFormat>
    <chartFormat chart="7" format="10">
      <pivotArea type="data" outline="0" fieldPosition="0">
        <references count="3">
          <reference field="4294967294" count="1" selected="0">
            <x v="0"/>
          </reference>
          <reference field="6" count="1" selected="0">
            <x v="2"/>
          </reference>
          <reference field="11" count="1" selected="0">
            <x v="1"/>
          </reference>
        </references>
      </pivotArea>
    </chartFormat>
    <chartFormat chart="7" format="11">
      <pivotArea type="data" outline="0" fieldPosition="0">
        <references count="3">
          <reference field="4294967294" count="1" selected="0">
            <x v="0"/>
          </reference>
          <reference field="6" count="1" selected="0">
            <x v="0"/>
          </reference>
          <reference field="11" count="1" selected="0">
            <x v="1"/>
          </reference>
        </references>
      </pivotArea>
    </chartFormat>
    <chartFormat chart="7" format="12">
      <pivotArea type="data" outline="0" fieldPosition="0">
        <references count="3">
          <reference field="4294967294" count="1" selected="0">
            <x v="0"/>
          </reference>
          <reference field="6" count="1" selected="0">
            <x v="2"/>
          </reference>
          <reference field="11" count="1" selected="0">
            <x v="0"/>
          </reference>
        </references>
      </pivotArea>
    </chartFormat>
    <chartFormat chart="7" format="13">
      <pivotArea type="data" outline="0" fieldPosition="0">
        <references count="3">
          <reference field="4294967294" count="1" selected="0">
            <x v="0"/>
          </reference>
          <reference field="6" count="1" selected="0">
            <x v="1"/>
          </reference>
          <reference field="11" count="1" selected="0">
            <x v="0"/>
          </reference>
        </references>
      </pivotArea>
    </chartFormat>
    <chartFormat chart="7" format="14">
      <pivotArea type="data" outline="0" fieldPosition="0">
        <references count="3">
          <reference field="4294967294" count="1" selected="0">
            <x v="0"/>
          </reference>
          <reference field="6"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Level" xr10:uid="{FA44B15B-3E18-4199-80C8-1452EC311461}" sourceName="RiskLevel">
  <pivotTables>
    <pivotTable tabId="3" name="PivotTable3"/>
    <pivotTable tabId="5" name="PivotTable5"/>
    <pivotTable tabId="2" name="PivotTable2"/>
    <pivotTable tabId="7" name="PivotTable6"/>
    <pivotTable tabId="4" name="PivotTable4"/>
    <pivotTable tabId="8" name="PivotTable7"/>
  </pivotTables>
  <data>
    <tabular pivotCacheId="101274561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4131F3D-C2C0-4952-B503-1781FFF407A0}" sourceName="Age Group">
  <pivotTables>
    <pivotTable tabId="3" name="PivotTable3"/>
    <pivotTable tabId="5" name="PivotTable5"/>
    <pivotTable tabId="2" name="PivotTable2"/>
    <pivotTable tabId="7" name="PivotTable6"/>
    <pivotTable tabId="4" name="PivotTable4"/>
    <pivotTable tabId="8" name="PivotTable7"/>
  </pivotTables>
  <data>
    <tabular pivotCacheId="1012745610">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rate_Category" xr10:uid="{2B347AFC-30D6-4196-9007-A808F6F53045}" sourceName="Heartrate Category">
  <pivotTables>
    <pivotTable tabId="3" name="PivotTable3"/>
    <pivotTable tabId="5" name="PivotTable5"/>
    <pivotTable tabId="2" name="PivotTable2"/>
    <pivotTable tabId="7" name="PivotTable6"/>
    <pivotTable tabId="4" name="PivotTable4"/>
    <pivotTable tabId="8" name="PivotTable7"/>
  </pivotTables>
  <data>
    <tabular pivotCacheId="101274561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Temp_Category" xr10:uid="{D2094C10-8488-4DFB-BCF8-930EC98AF3AC}" sourceName="BodyTemp Category">
  <pivotTables>
    <pivotTable tabId="3" name="PivotTable3"/>
    <pivotTable tabId="5" name="PivotTable5"/>
    <pivotTable tabId="2" name="PivotTable2"/>
    <pivotTable tabId="7" name="PivotTable6"/>
    <pivotTable tabId="4" name="PivotTable4"/>
    <pivotTable tabId="8" name="PivotTable7"/>
  </pivotTables>
  <data>
    <tabular pivotCacheId="101274561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P_Category" xr10:uid="{E562A9A4-36F6-4408-8A02-90D1C3C1495D}" sourceName="BP Category">
  <pivotTables>
    <pivotTable tabId="7" name="PivotTable6"/>
    <pivotTable tabId="5" name="PivotTable5"/>
    <pivotTable tabId="3" name="PivotTable3"/>
    <pivotTable tabId="2" name="PivotTable2"/>
    <pivotTable tabId="4" name="PivotTable4"/>
    <pivotTable tabId="8" name="PivotTable7"/>
  </pivotTables>
  <data>
    <tabular pivotCacheId="1012745610">
      <items count="5">
        <i x="3" s="1"/>
        <i x="1" s="1"/>
        <i x="4"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_Category" xr10:uid="{A5439FDD-95B3-47EC-B55B-0CC92830BC47}" sourceName="BS Category">
  <pivotTables>
    <pivotTable tabId="7" name="PivotTable6"/>
    <pivotTable tabId="5" name="PivotTable5"/>
    <pivotTable tabId="3" name="PivotTable3"/>
    <pivotTable tabId="2" name="PivotTable2"/>
    <pivotTable tabId="4" name="PivotTable4"/>
    <pivotTable tabId="8" name="PivotTable7"/>
  </pivotTables>
  <data>
    <tabular pivotCacheId="10127456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Level" xr10:uid="{057DE252-7DA6-4316-AA06-F637CA016A27}" cache="Slicer_RiskLevel" caption="RiskLevel" rowHeight="247650"/>
  <slicer name="Age Group" xr10:uid="{1F183499-5C02-4C95-A7B5-EC0A5AB8D90E}" cache="Slicer_Age_Group" caption="Age Group" rowHeight="247650"/>
  <slicer name="Heartrate Category" xr10:uid="{F48C75E6-6F5A-49DA-ADE6-6FF05A4970DD}" cache="Slicer_Heartrate_Category" caption="Heartrate Category" rowHeight="247650"/>
  <slicer name="BodyTemp Category" xr10:uid="{37D2F8EB-23DC-48AE-A2F5-423B7DD7D74E}" cache="Slicer_BodyTemp_Category" caption="BodyTemp Category" rowHeight="247650"/>
  <slicer name="BP Category" xr10:uid="{2BA8F53B-81B8-4AD7-BD99-7A80D5D81E07}" cache="Slicer_BP_Category" caption="BP Category" rowHeight="247650"/>
  <slicer name="BS Category" xr10:uid="{D2CD14F0-20DA-4AEA-B62A-E404EEC53D84}" cache="Slicer_BS_Category" caption="BS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DF990-5FF9-4AF0-9A5F-B8E4AC60B7EE}" name="Table1" displayName="Table1" ref="A1:L1015" totalsRowShown="0" dataDxfId="70">
  <autoFilter ref="A1:L1015" xr:uid="{F35DF990-5FF9-4AF0-9A5F-B8E4AC60B7EE}"/>
  <tableColumns count="12">
    <tableColumn id="1" xr3:uid="{AD486C5B-3527-4088-B75B-08D65BE2922F}" name="Age"/>
    <tableColumn id="2" xr3:uid="{C0365B66-DCA6-45D8-9EE4-2E4EF053836B}" name="SystolicBP"/>
    <tableColumn id="3" xr3:uid="{8E50E205-7441-4DDA-9E33-4655D8480BFC}" name="DiastolicBP"/>
    <tableColumn id="4" xr3:uid="{C97A3B1C-08D8-4141-B6CE-E5FBD5BB3BD7}" name="BS"/>
    <tableColumn id="5" xr3:uid="{72DED5E0-3293-42F5-A61E-7324D5F132DF}" name="BodyTemp"/>
    <tableColumn id="6" xr3:uid="{6191C9E5-A48C-43E9-9A1D-4CE23C530D21}" name="HeartRate"/>
    <tableColumn id="7" xr3:uid="{4417065D-03A3-4491-ADE6-4956ACD73C62}" name="RiskLevel"/>
    <tableColumn id="8" xr3:uid="{F05C8BA0-898B-4E3A-BEEC-31F707E8A575}" name="Age Group" dataDxfId="69">
      <calculatedColumnFormula>IF(A2&lt;=20,"10-20",
 IF(A2&lt;=30,"20-30",
 IF(A2&lt;=40,"30-40",
 IF(A2&lt;=50,"40-50","50+"))))</calculatedColumnFormula>
    </tableColumn>
    <tableColumn id="9" xr3:uid="{34B44FF6-4A1E-40E6-8CD9-F8C1B68BF604}" name="BP Category" dataDxfId="68">
      <calculatedColumnFormula>IF(AND(B2&lt;90,C2&lt;60),"Low BP",
 IF(AND(B2&lt;120,C2&lt;80),"Normal",
 IF(AND(B2&lt;140,C2&lt;90),"Pre-High",
 IF(AND(B2&lt;160,C2&lt;100),"High","Critical"))))</calculatedColumnFormula>
    </tableColumn>
    <tableColumn id="10" xr3:uid="{8F0BA70B-9D23-4A14-B065-001C510593D1}" name="BS Category" dataDxfId="67">
      <calculatedColumnFormula>IF(D2&lt;8,"Normal",
 IF(D2&lt;12,"Slightly High","High"))</calculatedColumnFormula>
    </tableColumn>
    <tableColumn id="11" xr3:uid="{5D234FE9-B103-44AE-8A5E-7E79D16071F5}" name="Heartrate Category" dataDxfId="66">
      <calculatedColumnFormula>IF(F2&lt;70,"Low",
 IF(F2&lt;=85,"Normal","High"))</calculatedColumnFormula>
    </tableColumn>
    <tableColumn id="12" xr3:uid="{7B9D16A4-62C2-44F8-88E0-2935DD464FC4}" name="BodyTemp Category" dataDxfId="65">
      <calculatedColumnFormula>IF(E2&lt;97.5,"Low",
 IF(E2&lt;=99,"Normal","High"))</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160C-6976-4C9D-95D9-6E4BF064063B}">
  <dimension ref="A1"/>
  <sheetViews>
    <sheetView tabSelected="1" zoomScale="67" zoomScaleNormal="68" workbookViewId="0">
      <selection activeCell="AE21" sqref="AE2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E180-E4CE-4B9B-BC1B-2DB2D4D200B6}">
  <dimension ref="A3:B7"/>
  <sheetViews>
    <sheetView zoomScale="98" zoomScaleNormal="130" workbookViewId="0">
      <selection activeCell="D5" sqref="D5"/>
    </sheetView>
  </sheetViews>
  <sheetFormatPr defaultRowHeight="13.8" x14ac:dyDescent="0.25"/>
  <cols>
    <col min="1" max="1" width="13.3984375" bestFit="1" customWidth="1"/>
    <col min="2" max="2" width="13.796875" bestFit="1" customWidth="1"/>
  </cols>
  <sheetData>
    <row r="3" spans="1:2" x14ac:dyDescent="0.25">
      <c r="A3" s="2" t="s">
        <v>15</v>
      </c>
      <c r="B3" t="s">
        <v>17</v>
      </c>
    </row>
    <row r="4" spans="1:2" x14ac:dyDescent="0.25">
      <c r="A4" s="3" t="s">
        <v>7</v>
      </c>
      <c r="B4" s="4">
        <v>12.122610294117649</v>
      </c>
    </row>
    <row r="5" spans="1:2" x14ac:dyDescent="0.25">
      <c r="A5" s="3" t="s">
        <v>8</v>
      </c>
      <c r="B5" s="4">
        <v>7.2202709359606034</v>
      </c>
    </row>
    <row r="6" spans="1:2" x14ac:dyDescent="0.25">
      <c r="A6" s="3" t="s">
        <v>9</v>
      </c>
      <c r="B6" s="4">
        <v>7.7957440476190474</v>
      </c>
    </row>
    <row r="7" spans="1:2" x14ac:dyDescent="0.25">
      <c r="A7" s="3" t="s">
        <v>16</v>
      </c>
      <c r="B7" s="4">
        <v>8.7259861932938581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48A7-1764-45FD-AC7F-ED7B9809C4FE}">
  <dimension ref="A3:C7"/>
  <sheetViews>
    <sheetView workbookViewId="0">
      <selection activeCell="B27" sqref="B27"/>
    </sheetView>
  </sheetViews>
  <sheetFormatPr defaultRowHeight="13.8" x14ac:dyDescent="0.25"/>
  <cols>
    <col min="1" max="1" width="13.09765625" bestFit="1" customWidth="1"/>
    <col min="2" max="2" width="20.5" bestFit="1" customWidth="1"/>
    <col min="3" max="3" width="21.5" bestFit="1" customWidth="1"/>
  </cols>
  <sheetData>
    <row r="3" spans="1:3" x14ac:dyDescent="0.25">
      <c r="A3" s="2" t="s">
        <v>15</v>
      </c>
      <c r="B3" t="s">
        <v>19</v>
      </c>
      <c r="C3" t="s">
        <v>20</v>
      </c>
    </row>
    <row r="4" spans="1:3" x14ac:dyDescent="0.25">
      <c r="A4" s="3" t="s">
        <v>7</v>
      </c>
      <c r="B4" s="4">
        <v>124.19485294117646</v>
      </c>
      <c r="C4" s="4">
        <v>85.07352941176471</v>
      </c>
    </row>
    <row r="5" spans="1:3" x14ac:dyDescent="0.25">
      <c r="A5" s="3" t="s">
        <v>8</v>
      </c>
      <c r="B5" s="4">
        <v>105.86699507389163</v>
      </c>
      <c r="C5" s="4">
        <v>72.534482758620683</v>
      </c>
    </row>
    <row r="6" spans="1:3" x14ac:dyDescent="0.25">
      <c r="A6" s="3" t="s">
        <v>9</v>
      </c>
      <c r="B6" s="4">
        <v>113.1547619047619</v>
      </c>
      <c r="C6" s="4">
        <v>74.232142857142861</v>
      </c>
    </row>
    <row r="7" spans="1:3" x14ac:dyDescent="0.25">
      <c r="A7" s="3" t="s">
        <v>16</v>
      </c>
      <c r="B7" s="4">
        <v>113.19822485207101</v>
      </c>
      <c r="C7" s="4">
        <v>76.46055226824457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C875-A5C2-4ED2-82E0-849EB4FA13C6}">
  <dimension ref="A3:E10"/>
  <sheetViews>
    <sheetView workbookViewId="0">
      <selection activeCell="F19" sqref="F19"/>
    </sheetView>
  </sheetViews>
  <sheetFormatPr defaultRowHeight="13.8" x14ac:dyDescent="0.25"/>
  <cols>
    <col min="1" max="1" width="14.59765625" bestFit="1" customWidth="1"/>
    <col min="2" max="2" width="16.09765625" bestFit="1" customWidth="1"/>
    <col min="3" max="3" width="7.8984375" bestFit="1" customWidth="1"/>
    <col min="4" max="4" width="8" bestFit="1" customWidth="1"/>
    <col min="5" max="5" width="11.3984375" bestFit="1" customWidth="1"/>
  </cols>
  <sheetData>
    <row r="3" spans="1:5" x14ac:dyDescent="0.25">
      <c r="A3" s="2" t="s">
        <v>25</v>
      </c>
      <c r="B3" s="2" t="s">
        <v>18</v>
      </c>
    </row>
    <row r="4" spans="1:5" x14ac:dyDescent="0.25">
      <c r="A4" s="2" t="s">
        <v>15</v>
      </c>
      <c r="B4" t="s">
        <v>7</v>
      </c>
      <c r="C4" t="s">
        <v>8</v>
      </c>
      <c r="D4" t="s">
        <v>9</v>
      </c>
      <c r="E4" t="s">
        <v>16</v>
      </c>
    </row>
    <row r="5" spans="1:5" x14ac:dyDescent="0.25">
      <c r="A5" s="3" t="s">
        <v>27</v>
      </c>
      <c r="B5" s="4">
        <v>15.666666666666666</v>
      </c>
      <c r="C5" s="4">
        <v>16.186666666666667</v>
      </c>
      <c r="D5" s="4">
        <v>16.973214285714285</v>
      </c>
      <c r="E5" s="4">
        <v>16.411960132890364</v>
      </c>
    </row>
    <row r="6" spans="1:5" x14ac:dyDescent="0.25">
      <c r="A6" s="3" t="s">
        <v>28</v>
      </c>
      <c r="B6" s="4">
        <v>26.357142857142858</v>
      </c>
      <c r="C6" s="4">
        <v>23.455882352941178</v>
      </c>
      <c r="D6" s="4">
        <v>25.951219512195124</v>
      </c>
      <c r="E6" s="4">
        <v>24.946031746031746</v>
      </c>
    </row>
    <row r="7" spans="1:5" x14ac:dyDescent="0.25">
      <c r="A7" s="3" t="s">
        <v>21</v>
      </c>
      <c r="B7" s="4">
        <v>36.505494505494504</v>
      </c>
      <c r="C7" s="4">
        <v>33.387755102040813</v>
      </c>
      <c r="D7" s="4">
        <v>33.093023255813954</v>
      </c>
      <c r="E7" s="4">
        <v>34.868852459016395</v>
      </c>
    </row>
    <row r="8" spans="1:5" x14ac:dyDescent="0.25">
      <c r="A8" s="3" t="s">
        <v>29</v>
      </c>
      <c r="B8" s="4">
        <v>48.04081632653061</v>
      </c>
      <c r="C8" s="4">
        <v>45.210526315789473</v>
      </c>
      <c r="D8" s="4">
        <v>47.636363636363633</v>
      </c>
      <c r="E8" s="4">
        <v>47.033333333333331</v>
      </c>
    </row>
    <row r="9" spans="1:5" x14ac:dyDescent="0.25">
      <c r="A9" s="3" t="s">
        <v>30</v>
      </c>
      <c r="B9" s="4">
        <v>56.432432432432435</v>
      </c>
      <c r="C9" s="4">
        <v>58.696969696969695</v>
      </c>
      <c r="D9" s="4">
        <v>57.68</v>
      </c>
      <c r="E9" s="4">
        <v>57.547368421052632</v>
      </c>
    </row>
    <row r="10" spans="1:5" x14ac:dyDescent="0.25">
      <c r="A10" s="3" t="s">
        <v>16</v>
      </c>
      <c r="B10" s="4">
        <v>36.216911764705884</v>
      </c>
      <c r="C10" s="4">
        <v>26.869458128078819</v>
      </c>
      <c r="D10" s="4">
        <v>28.363095238095237</v>
      </c>
      <c r="E10" s="4">
        <v>29.871794871794872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3920-4FA0-4815-AE9B-957E7317FF8F}">
  <dimension ref="A3:B9"/>
  <sheetViews>
    <sheetView workbookViewId="0">
      <selection activeCell="C6" sqref="C6"/>
    </sheetView>
  </sheetViews>
  <sheetFormatPr defaultRowHeight="13.8" x14ac:dyDescent="0.25"/>
  <cols>
    <col min="1" max="1" width="13.09765625" bestFit="1" customWidth="1"/>
    <col min="2" max="2" width="13.5" bestFit="1" customWidth="1"/>
  </cols>
  <sheetData>
    <row r="3" spans="1:2" x14ac:dyDescent="0.25">
      <c r="A3" s="2" t="s">
        <v>15</v>
      </c>
      <c r="B3" t="s">
        <v>17</v>
      </c>
    </row>
    <row r="4" spans="1:2" x14ac:dyDescent="0.25">
      <c r="A4" s="3" t="s">
        <v>27</v>
      </c>
      <c r="B4" s="4">
        <v>7.4048172757475097</v>
      </c>
    </row>
    <row r="5" spans="1:2" x14ac:dyDescent="0.25">
      <c r="A5" s="3" t="s">
        <v>28</v>
      </c>
      <c r="B5" s="4">
        <v>7.6488888888888917</v>
      </c>
    </row>
    <row r="6" spans="1:2" x14ac:dyDescent="0.25">
      <c r="A6" s="3" t="s">
        <v>21</v>
      </c>
      <c r="B6" s="4">
        <v>9.6404371584699398</v>
      </c>
    </row>
    <row r="7" spans="1:2" x14ac:dyDescent="0.25">
      <c r="A7" s="3" t="s">
        <v>29</v>
      </c>
      <c r="B7" s="4">
        <v>11.624166666666667</v>
      </c>
    </row>
    <row r="8" spans="1:2" x14ac:dyDescent="0.25">
      <c r="A8" s="3" t="s">
        <v>30</v>
      </c>
      <c r="B8" s="4">
        <v>11.06105263157894</v>
      </c>
    </row>
    <row r="9" spans="1:2" x14ac:dyDescent="0.25">
      <c r="A9" s="3" t="s">
        <v>16</v>
      </c>
      <c r="B9" s="4">
        <v>8.7259861932938776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33CF-204D-4FD0-BF87-49A6C2DBF108}">
  <dimension ref="A3:E10"/>
  <sheetViews>
    <sheetView workbookViewId="0">
      <selection activeCell="D11" sqref="D11"/>
    </sheetView>
  </sheetViews>
  <sheetFormatPr defaultRowHeight="13.8" x14ac:dyDescent="0.25"/>
  <cols>
    <col min="1" max="1" width="20.59765625" bestFit="1" customWidth="1"/>
    <col min="2" max="2" width="16.09765625" bestFit="1" customWidth="1"/>
    <col min="3" max="3" width="7.8984375" bestFit="1" customWidth="1"/>
    <col min="4" max="4" width="8" bestFit="1" customWidth="1"/>
    <col min="5" max="5" width="11.3984375" bestFit="1" customWidth="1"/>
  </cols>
  <sheetData>
    <row r="3" spans="1:5" x14ac:dyDescent="0.25">
      <c r="A3" s="2" t="s">
        <v>22</v>
      </c>
      <c r="B3" s="2" t="s">
        <v>18</v>
      </c>
    </row>
    <row r="4" spans="1:5" x14ac:dyDescent="0.25">
      <c r="A4" s="2" t="s">
        <v>15</v>
      </c>
      <c r="B4" t="s">
        <v>7</v>
      </c>
      <c r="C4" t="s">
        <v>8</v>
      </c>
      <c r="D4" t="s">
        <v>9</v>
      </c>
      <c r="E4" t="s">
        <v>16</v>
      </c>
    </row>
    <row r="5" spans="1:5" x14ac:dyDescent="0.25">
      <c r="A5" s="3" t="s">
        <v>27</v>
      </c>
      <c r="B5" s="4">
        <v>73.564102564102569</v>
      </c>
      <c r="C5" s="4">
        <v>72.673333333333332</v>
      </c>
      <c r="D5" s="4">
        <v>72.419642857142861</v>
      </c>
      <c r="E5" s="4">
        <v>72.694352159468437</v>
      </c>
    </row>
    <row r="6" spans="1:5" x14ac:dyDescent="0.25">
      <c r="A6" s="3" t="s">
        <v>28</v>
      </c>
      <c r="B6" s="4">
        <v>76.785714285714292</v>
      </c>
      <c r="C6" s="4">
        <v>73.639705882352942</v>
      </c>
      <c r="D6" s="4">
        <v>76.113821138211378</v>
      </c>
      <c r="E6" s="4">
        <v>75.165079365079364</v>
      </c>
    </row>
    <row r="7" spans="1:5" x14ac:dyDescent="0.25">
      <c r="A7" s="3" t="s">
        <v>21</v>
      </c>
      <c r="B7" s="4">
        <v>77.824175824175825</v>
      </c>
      <c r="C7" s="4">
        <v>70.142857142857139</v>
      </c>
      <c r="D7" s="4">
        <v>74.372093023255815</v>
      </c>
      <c r="E7" s="4">
        <v>74.95628415300547</v>
      </c>
    </row>
    <row r="8" spans="1:5" x14ac:dyDescent="0.25">
      <c r="A8" s="3" t="s">
        <v>29</v>
      </c>
      <c r="B8" s="4">
        <v>80.102040816326536</v>
      </c>
      <c r="C8" s="4">
        <v>72.526315789473685</v>
      </c>
      <c r="D8" s="4">
        <v>75.575757575757578</v>
      </c>
      <c r="E8" s="4">
        <v>76.458333333333329</v>
      </c>
    </row>
    <row r="9" spans="1:5" x14ac:dyDescent="0.25">
      <c r="A9" s="3" t="s">
        <v>30</v>
      </c>
      <c r="B9" s="4">
        <v>72.918918918918919</v>
      </c>
      <c r="C9" s="4">
        <v>73.818181818181813</v>
      </c>
      <c r="D9" s="4">
        <v>70.319999999999993</v>
      </c>
      <c r="E9" s="4">
        <v>72.547368421052639</v>
      </c>
    </row>
    <row r="10" spans="1:5" x14ac:dyDescent="0.25">
      <c r="A10" s="3" t="s">
        <v>16</v>
      </c>
      <c r="B10" s="4">
        <v>76.742647058823536</v>
      </c>
      <c r="C10" s="4">
        <v>72.770935960591132</v>
      </c>
      <c r="D10" s="4">
        <v>74.175595238095241</v>
      </c>
      <c r="E10" s="4">
        <v>74.301775147928993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32C1-CDF3-477C-A068-A8716DEA5D2A}">
  <dimension ref="A3:E7"/>
  <sheetViews>
    <sheetView workbookViewId="0">
      <selection activeCell="I6" sqref="I6"/>
    </sheetView>
  </sheetViews>
  <sheetFormatPr defaultRowHeight="13.8" x14ac:dyDescent="0.25"/>
  <cols>
    <col min="1" max="1" width="18.69921875" bestFit="1" customWidth="1"/>
    <col min="2" max="2" width="16.09765625" bestFit="1" customWidth="1"/>
    <col min="3" max="3" width="7.8984375" bestFit="1" customWidth="1"/>
    <col min="4" max="4" width="8" bestFit="1" customWidth="1"/>
    <col min="5" max="5" width="11.3984375" bestFit="1" customWidth="1"/>
  </cols>
  <sheetData>
    <row r="3" spans="1:5" x14ac:dyDescent="0.25">
      <c r="A3" s="2" t="s">
        <v>26</v>
      </c>
      <c r="B3" s="2" t="s">
        <v>18</v>
      </c>
    </row>
    <row r="4" spans="1:5" x14ac:dyDescent="0.25">
      <c r="A4" s="2" t="s">
        <v>15</v>
      </c>
      <c r="B4" t="s">
        <v>7</v>
      </c>
      <c r="C4" t="s">
        <v>8</v>
      </c>
      <c r="D4" t="s">
        <v>9</v>
      </c>
      <c r="E4" t="s">
        <v>16</v>
      </c>
    </row>
    <row r="5" spans="1:5" x14ac:dyDescent="0.25">
      <c r="A5" s="3" t="s">
        <v>23</v>
      </c>
      <c r="B5" s="5">
        <v>70</v>
      </c>
      <c r="C5" s="5">
        <v>39</v>
      </c>
      <c r="D5" s="5">
        <v>88</v>
      </c>
      <c r="E5" s="5">
        <v>197</v>
      </c>
    </row>
    <row r="6" spans="1:5" x14ac:dyDescent="0.25">
      <c r="A6" s="3" t="s">
        <v>24</v>
      </c>
      <c r="B6" s="5">
        <v>202</v>
      </c>
      <c r="C6" s="5">
        <v>367</v>
      </c>
      <c r="D6" s="5">
        <v>248</v>
      </c>
      <c r="E6" s="5">
        <v>817</v>
      </c>
    </row>
    <row r="7" spans="1:5" x14ac:dyDescent="0.25">
      <c r="A7" s="3" t="s">
        <v>16</v>
      </c>
      <c r="B7" s="5">
        <v>272</v>
      </c>
      <c r="C7" s="5">
        <v>406</v>
      </c>
      <c r="D7" s="5">
        <v>336</v>
      </c>
      <c r="E7" s="5">
        <v>1014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A2FA-E329-41BC-94E4-374818F6BDF5}">
  <dimension ref="A1:L1015"/>
  <sheetViews>
    <sheetView topLeftCell="C2" zoomScale="109" workbookViewId="0">
      <selection activeCell="O13" sqref="O13"/>
    </sheetView>
  </sheetViews>
  <sheetFormatPr defaultRowHeight="13.8" x14ac:dyDescent="0.25"/>
  <cols>
    <col min="1" max="1" width="6.296875" customWidth="1"/>
    <col min="2" max="2" width="12.296875" customWidth="1"/>
    <col min="3" max="3" width="13" customWidth="1"/>
    <col min="5" max="5" width="12.69921875" customWidth="1"/>
    <col min="6" max="6" width="12.5" customWidth="1"/>
    <col min="7" max="7" width="11.69921875" customWidth="1"/>
    <col min="8" max="8" width="12.5" customWidth="1"/>
    <col min="9" max="10" width="14.19921875" customWidth="1"/>
    <col min="11" max="11" width="21.19921875" customWidth="1"/>
    <col min="12" max="12" width="21.796875" customWidth="1"/>
  </cols>
  <sheetData>
    <row r="1" spans="1:12" x14ac:dyDescent="0.25">
      <c r="A1" t="s">
        <v>0</v>
      </c>
      <c r="B1" t="s">
        <v>1</v>
      </c>
      <c r="C1" t="s">
        <v>2</v>
      </c>
      <c r="D1" t="s">
        <v>3</v>
      </c>
      <c r="E1" t="s">
        <v>4</v>
      </c>
      <c r="F1" t="s">
        <v>5</v>
      </c>
      <c r="G1" t="s">
        <v>6</v>
      </c>
      <c r="H1" t="s">
        <v>10</v>
      </c>
      <c r="I1" t="s">
        <v>11</v>
      </c>
      <c r="J1" t="s">
        <v>12</v>
      </c>
      <c r="K1" t="s">
        <v>13</v>
      </c>
      <c r="L1" t="s">
        <v>14</v>
      </c>
    </row>
    <row r="2" spans="1:12" x14ac:dyDescent="0.25">
      <c r="A2">
        <v>25</v>
      </c>
      <c r="B2">
        <v>130</v>
      </c>
      <c r="C2">
        <v>80</v>
      </c>
      <c r="D2">
        <v>15</v>
      </c>
      <c r="E2">
        <v>98</v>
      </c>
      <c r="F2">
        <v>86</v>
      </c>
      <c r="G2" t="s">
        <v>7</v>
      </c>
      <c r="H2" s="1" t="str">
        <f>IF(A2&lt;=20,"10-20",
 IF(A2&lt;=30,"20-30",
 IF(A2&lt;=40,"30-40",
 IF(A2&lt;=50,"40-50","50+"))))</f>
        <v>20-30</v>
      </c>
      <c r="I2" s="1" t="str">
        <f>IF(AND(B2&lt;90,C2&lt;60),"Low BP",
 IF(AND(B2&lt;120,C2&lt;80),"Normal",
 IF(AND(B2&lt;140,C2&lt;90),"Pre-High",
 IF(AND(B2&lt;160,C2&lt;100),"High","Critical"))))</f>
        <v>Pre-High</v>
      </c>
      <c r="J2" s="1" t="str">
        <f>IF(D2&lt;8,"Normal",
 IF(D2&lt;12,"Slightly High","High"))</f>
        <v>High</v>
      </c>
      <c r="K2" s="1" t="str">
        <f>IF(F2&lt;70,"Low",
 IF(F2&lt;=85,"Normal","High"))</f>
        <v>High</v>
      </c>
      <c r="L2" s="1" t="str">
        <f>IF(E2&lt;97.5,"Low",
 IF(E2&lt;=99,"Normal","High"))</f>
        <v>Normal</v>
      </c>
    </row>
    <row r="3" spans="1:12" x14ac:dyDescent="0.25">
      <c r="A3">
        <v>35</v>
      </c>
      <c r="B3">
        <v>140</v>
      </c>
      <c r="C3">
        <v>90</v>
      </c>
      <c r="D3">
        <v>13</v>
      </c>
      <c r="E3">
        <v>98</v>
      </c>
      <c r="F3">
        <v>70</v>
      </c>
      <c r="G3" t="s">
        <v>7</v>
      </c>
      <c r="H3" s="1" t="str">
        <f t="shared" ref="H3:H66" si="0">IF(A3&lt;=20,"10-20",
 IF(A3&lt;=30,"20-30",
 IF(A3&lt;=40,"30-40",
 IF(A3&lt;=50,"40-50","50+"))))</f>
        <v>30-40</v>
      </c>
      <c r="I3" s="1" t="str">
        <f t="shared" ref="I3:I66" si="1">IF(AND(B3&lt;90,C3&lt;60),"Low BP",
 IF(AND(B3&lt;120,C3&lt;80),"Normal",
 IF(AND(B3&lt;140,C3&lt;90),"Pre-High",
 IF(AND(B3&lt;160,C3&lt;100),"High","Critical"))))</f>
        <v>High</v>
      </c>
      <c r="J3" s="1" t="str">
        <f t="shared" ref="J3:J66" si="2">IF(D3&lt;8,"Normal",
 IF(D3&lt;12,"Slightly High","High"))</f>
        <v>High</v>
      </c>
      <c r="K3" s="1" t="str">
        <f t="shared" ref="K3:K66" si="3">IF(F3&lt;70,"Low",
 IF(F3&lt;=85,"Normal","High"))</f>
        <v>Normal</v>
      </c>
      <c r="L3" s="1" t="str">
        <f t="shared" ref="L3:L66" si="4">IF(E3&lt;97.5,"Low",
 IF(E3&lt;=99,"Normal","High"))</f>
        <v>Normal</v>
      </c>
    </row>
    <row r="4" spans="1:12" x14ac:dyDescent="0.25">
      <c r="A4">
        <v>29</v>
      </c>
      <c r="B4">
        <v>90</v>
      </c>
      <c r="C4">
        <v>70</v>
      </c>
      <c r="D4">
        <v>8</v>
      </c>
      <c r="E4">
        <v>100</v>
      </c>
      <c r="F4">
        <v>80</v>
      </c>
      <c r="G4" t="s">
        <v>7</v>
      </c>
      <c r="H4" s="1" t="str">
        <f t="shared" si="0"/>
        <v>20-30</v>
      </c>
      <c r="I4" s="1" t="str">
        <f t="shared" si="1"/>
        <v>Normal</v>
      </c>
      <c r="J4" s="1" t="str">
        <f t="shared" si="2"/>
        <v>Slightly High</v>
      </c>
      <c r="K4" s="1" t="str">
        <f t="shared" si="3"/>
        <v>Normal</v>
      </c>
      <c r="L4" s="1" t="str">
        <f t="shared" si="4"/>
        <v>High</v>
      </c>
    </row>
    <row r="5" spans="1:12" x14ac:dyDescent="0.25">
      <c r="A5">
        <v>30</v>
      </c>
      <c r="B5">
        <v>140</v>
      </c>
      <c r="C5">
        <v>85</v>
      </c>
      <c r="D5">
        <v>7</v>
      </c>
      <c r="E5">
        <v>98</v>
      </c>
      <c r="F5">
        <v>70</v>
      </c>
      <c r="G5" t="s">
        <v>7</v>
      </c>
      <c r="H5" s="1" t="str">
        <f t="shared" si="0"/>
        <v>20-30</v>
      </c>
      <c r="I5" s="1" t="str">
        <f t="shared" si="1"/>
        <v>High</v>
      </c>
      <c r="J5" s="1" t="str">
        <f t="shared" si="2"/>
        <v>Normal</v>
      </c>
      <c r="K5" s="1" t="str">
        <f t="shared" si="3"/>
        <v>Normal</v>
      </c>
      <c r="L5" s="1" t="str">
        <f t="shared" si="4"/>
        <v>Normal</v>
      </c>
    </row>
    <row r="6" spans="1:12" x14ac:dyDescent="0.25">
      <c r="A6">
        <v>35</v>
      </c>
      <c r="B6">
        <v>120</v>
      </c>
      <c r="C6">
        <v>60</v>
      </c>
      <c r="D6">
        <v>6.1</v>
      </c>
      <c r="E6">
        <v>98</v>
      </c>
      <c r="F6">
        <v>76</v>
      </c>
      <c r="G6" t="s">
        <v>8</v>
      </c>
      <c r="H6" s="1" t="str">
        <f t="shared" si="0"/>
        <v>30-40</v>
      </c>
      <c r="I6" s="1" t="str">
        <f t="shared" si="1"/>
        <v>Pre-High</v>
      </c>
      <c r="J6" s="1" t="str">
        <f t="shared" si="2"/>
        <v>Normal</v>
      </c>
      <c r="K6" s="1" t="str">
        <f t="shared" si="3"/>
        <v>Normal</v>
      </c>
      <c r="L6" s="1" t="str">
        <f t="shared" si="4"/>
        <v>Normal</v>
      </c>
    </row>
    <row r="7" spans="1:12" x14ac:dyDescent="0.25">
      <c r="A7">
        <v>23</v>
      </c>
      <c r="B7">
        <v>140</v>
      </c>
      <c r="C7">
        <v>80</v>
      </c>
      <c r="D7">
        <v>7.01</v>
      </c>
      <c r="E7">
        <v>98</v>
      </c>
      <c r="F7">
        <v>70</v>
      </c>
      <c r="G7" t="s">
        <v>7</v>
      </c>
      <c r="H7" s="1" t="str">
        <f t="shared" si="0"/>
        <v>20-30</v>
      </c>
      <c r="I7" s="1" t="str">
        <f t="shared" si="1"/>
        <v>High</v>
      </c>
      <c r="J7" s="1" t="str">
        <f t="shared" si="2"/>
        <v>Normal</v>
      </c>
      <c r="K7" s="1" t="str">
        <f t="shared" si="3"/>
        <v>Normal</v>
      </c>
      <c r="L7" s="1" t="str">
        <f t="shared" si="4"/>
        <v>Normal</v>
      </c>
    </row>
    <row r="8" spans="1:12" x14ac:dyDescent="0.25">
      <c r="A8">
        <v>23</v>
      </c>
      <c r="B8">
        <v>130</v>
      </c>
      <c r="C8">
        <v>70</v>
      </c>
      <c r="D8">
        <v>7.01</v>
      </c>
      <c r="E8">
        <v>98</v>
      </c>
      <c r="F8">
        <v>78</v>
      </c>
      <c r="G8" t="s">
        <v>9</v>
      </c>
      <c r="H8" s="1" t="str">
        <f t="shared" si="0"/>
        <v>20-30</v>
      </c>
      <c r="I8" s="1" t="str">
        <f t="shared" si="1"/>
        <v>Pre-High</v>
      </c>
      <c r="J8" s="1" t="str">
        <f t="shared" si="2"/>
        <v>Normal</v>
      </c>
      <c r="K8" s="1" t="str">
        <f t="shared" si="3"/>
        <v>Normal</v>
      </c>
      <c r="L8" s="1" t="str">
        <f t="shared" si="4"/>
        <v>Normal</v>
      </c>
    </row>
    <row r="9" spans="1:12" x14ac:dyDescent="0.25">
      <c r="A9">
        <v>35</v>
      </c>
      <c r="B9">
        <v>85</v>
      </c>
      <c r="C9">
        <v>60</v>
      </c>
      <c r="D9">
        <v>11</v>
      </c>
      <c r="E9">
        <v>102</v>
      </c>
      <c r="F9">
        <v>86</v>
      </c>
      <c r="G9" t="s">
        <v>7</v>
      </c>
      <c r="H9" s="1" t="str">
        <f t="shared" si="0"/>
        <v>30-40</v>
      </c>
      <c r="I9" s="1" t="str">
        <f t="shared" si="1"/>
        <v>Normal</v>
      </c>
      <c r="J9" s="1" t="str">
        <f t="shared" si="2"/>
        <v>Slightly High</v>
      </c>
      <c r="K9" s="1" t="str">
        <f t="shared" si="3"/>
        <v>High</v>
      </c>
      <c r="L9" s="1" t="str">
        <f t="shared" si="4"/>
        <v>High</v>
      </c>
    </row>
    <row r="10" spans="1:12" x14ac:dyDescent="0.25">
      <c r="A10">
        <v>32</v>
      </c>
      <c r="B10">
        <v>120</v>
      </c>
      <c r="C10">
        <v>90</v>
      </c>
      <c r="D10">
        <v>6.9</v>
      </c>
      <c r="E10">
        <v>98</v>
      </c>
      <c r="F10">
        <v>70</v>
      </c>
      <c r="G10" t="s">
        <v>9</v>
      </c>
      <c r="H10" s="1" t="str">
        <f t="shared" si="0"/>
        <v>30-40</v>
      </c>
      <c r="I10" s="1" t="str">
        <f t="shared" si="1"/>
        <v>High</v>
      </c>
      <c r="J10" s="1" t="str">
        <f t="shared" si="2"/>
        <v>Normal</v>
      </c>
      <c r="K10" s="1" t="str">
        <f t="shared" si="3"/>
        <v>Normal</v>
      </c>
      <c r="L10" s="1" t="str">
        <f t="shared" si="4"/>
        <v>Normal</v>
      </c>
    </row>
    <row r="11" spans="1:12" x14ac:dyDescent="0.25">
      <c r="A11">
        <v>42</v>
      </c>
      <c r="B11">
        <v>130</v>
      </c>
      <c r="C11">
        <v>80</v>
      </c>
      <c r="D11">
        <v>18</v>
      </c>
      <c r="E11">
        <v>98</v>
      </c>
      <c r="F11">
        <v>70</v>
      </c>
      <c r="G11" t="s">
        <v>7</v>
      </c>
      <c r="H11" s="1" t="str">
        <f t="shared" si="0"/>
        <v>40-50</v>
      </c>
      <c r="I11" s="1" t="str">
        <f t="shared" si="1"/>
        <v>Pre-High</v>
      </c>
      <c r="J11" s="1" t="str">
        <f t="shared" si="2"/>
        <v>High</v>
      </c>
      <c r="K11" s="1" t="str">
        <f t="shared" si="3"/>
        <v>Normal</v>
      </c>
      <c r="L11" s="1" t="str">
        <f t="shared" si="4"/>
        <v>Normal</v>
      </c>
    </row>
    <row r="12" spans="1:12" x14ac:dyDescent="0.25">
      <c r="A12">
        <v>23</v>
      </c>
      <c r="B12">
        <v>90</v>
      </c>
      <c r="C12">
        <v>60</v>
      </c>
      <c r="D12">
        <v>7.01</v>
      </c>
      <c r="E12">
        <v>98</v>
      </c>
      <c r="F12">
        <v>76</v>
      </c>
      <c r="G12" t="s">
        <v>8</v>
      </c>
      <c r="H12" s="1" t="str">
        <f t="shared" si="0"/>
        <v>20-30</v>
      </c>
      <c r="I12" s="1" t="str">
        <f t="shared" si="1"/>
        <v>Normal</v>
      </c>
      <c r="J12" s="1" t="str">
        <f t="shared" si="2"/>
        <v>Normal</v>
      </c>
      <c r="K12" s="1" t="str">
        <f t="shared" si="3"/>
        <v>Normal</v>
      </c>
      <c r="L12" s="1" t="str">
        <f t="shared" si="4"/>
        <v>Normal</v>
      </c>
    </row>
    <row r="13" spans="1:12" x14ac:dyDescent="0.25">
      <c r="A13">
        <v>19</v>
      </c>
      <c r="B13">
        <v>120</v>
      </c>
      <c r="C13">
        <v>80</v>
      </c>
      <c r="D13">
        <v>7</v>
      </c>
      <c r="E13">
        <v>98</v>
      </c>
      <c r="F13">
        <v>70</v>
      </c>
      <c r="G13" t="s">
        <v>9</v>
      </c>
      <c r="H13" s="1" t="str">
        <f t="shared" si="0"/>
        <v>10-20</v>
      </c>
      <c r="I13" s="1" t="str">
        <f t="shared" si="1"/>
        <v>Pre-High</v>
      </c>
      <c r="J13" s="1" t="str">
        <f t="shared" si="2"/>
        <v>Normal</v>
      </c>
      <c r="K13" s="1" t="str">
        <f t="shared" si="3"/>
        <v>Normal</v>
      </c>
      <c r="L13" s="1" t="str">
        <f t="shared" si="4"/>
        <v>Normal</v>
      </c>
    </row>
    <row r="14" spans="1:12" x14ac:dyDescent="0.25">
      <c r="A14">
        <v>25</v>
      </c>
      <c r="B14">
        <v>110</v>
      </c>
      <c r="C14">
        <v>89</v>
      </c>
      <c r="D14">
        <v>7.01</v>
      </c>
      <c r="E14">
        <v>98</v>
      </c>
      <c r="F14">
        <v>77</v>
      </c>
      <c r="G14" t="s">
        <v>8</v>
      </c>
      <c r="H14" s="1" t="str">
        <f t="shared" si="0"/>
        <v>20-30</v>
      </c>
      <c r="I14" s="1" t="str">
        <f t="shared" si="1"/>
        <v>Pre-High</v>
      </c>
      <c r="J14" s="1" t="str">
        <f t="shared" si="2"/>
        <v>Normal</v>
      </c>
      <c r="K14" s="1" t="str">
        <f t="shared" si="3"/>
        <v>Normal</v>
      </c>
      <c r="L14" s="1" t="str">
        <f t="shared" si="4"/>
        <v>Normal</v>
      </c>
    </row>
    <row r="15" spans="1:12" x14ac:dyDescent="0.25">
      <c r="A15">
        <v>20</v>
      </c>
      <c r="B15">
        <v>120</v>
      </c>
      <c r="C15">
        <v>75</v>
      </c>
      <c r="D15">
        <v>7.01</v>
      </c>
      <c r="E15">
        <v>100</v>
      </c>
      <c r="F15">
        <v>70</v>
      </c>
      <c r="G15" t="s">
        <v>9</v>
      </c>
      <c r="H15" s="1" t="str">
        <f t="shared" si="0"/>
        <v>10-20</v>
      </c>
      <c r="I15" s="1" t="str">
        <f t="shared" si="1"/>
        <v>Pre-High</v>
      </c>
      <c r="J15" s="1" t="str">
        <f t="shared" si="2"/>
        <v>Normal</v>
      </c>
      <c r="K15" s="1" t="str">
        <f t="shared" si="3"/>
        <v>Normal</v>
      </c>
      <c r="L15" s="1" t="str">
        <f t="shared" si="4"/>
        <v>High</v>
      </c>
    </row>
    <row r="16" spans="1:12" x14ac:dyDescent="0.25">
      <c r="A16">
        <v>48</v>
      </c>
      <c r="B16">
        <v>120</v>
      </c>
      <c r="C16">
        <v>80</v>
      </c>
      <c r="D16">
        <v>11</v>
      </c>
      <c r="E16">
        <v>98</v>
      </c>
      <c r="F16">
        <v>88</v>
      </c>
      <c r="G16" t="s">
        <v>9</v>
      </c>
      <c r="H16" s="1" t="str">
        <f t="shared" si="0"/>
        <v>40-50</v>
      </c>
      <c r="I16" s="1" t="str">
        <f t="shared" si="1"/>
        <v>Pre-High</v>
      </c>
      <c r="J16" s="1" t="str">
        <f t="shared" si="2"/>
        <v>Slightly High</v>
      </c>
      <c r="K16" s="1" t="str">
        <f t="shared" si="3"/>
        <v>High</v>
      </c>
      <c r="L16" s="1" t="str">
        <f t="shared" si="4"/>
        <v>Normal</v>
      </c>
    </row>
    <row r="17" spans="1:12" x14ac:dyDescent="0.25">
      <c r="A17">
        <v>15</v>
      </c>
      <c r="B17">
        <v>120</v>
      </c>
      <c r="C17">
        <v>80</v>
      </c>
      <c r="D17">
        <v>7.01</v>
      </c>
      <c r="E17">
        <v>98</v>
      </c>
      <c r="F17">
        <v>70</v>
      </c>
      <c r="G17" t="s">
        <v>8</v>
      </c>
      <c r="H17" s="1" t="str">
        <f t="shared" si="0"/>
        <v>10-20</v>
      </c>
      <c r="I17" s="1" t="str">
        <f t="shared" si="1"/>
        <v>Pre-High</v>
      </c>
      <c r="J17" s="1" t="str">
        <f t="shared" si="2"/>
        <v>Normal</v>
      </c>
      <c r="K17" s="1" t="str">
        <f t="shared" si="3"/>
        <v>Normal</v>
      </c>
      <c r="L17" s="1" t="str">
        <f t="shared" si="4"/>
        <v>Normal</v>
      </c>
    </row>
    <row r="18" spans="1:12" x14ac:dyDescent="0.25">
      <c r="A18">
        <v>50</v>
      </c>
      <c r="B18">
        <v>140</v>
      </c>
      <c r="C18">
        <v>90</v>
      </c>
      <c r="D18">
        <v>15</v>
      </c>
      <c r="E18">
        <v>98</v>
      </c>
      <c r="F18">
        <v>90</v>
      </c>
      <c r="G18" t="s">
        <v>7</v>
      </c>
      <c r="H18" s="1" t="str">
        <f t="shared" si="0"/>
        <v>40-50</v>
      </c>
      <c r="I18" s="1" t="str">
        <f t="shared" si="1"/>
        <v>High</v>
      </c>
      <c r="J18" s="1" t="str">
        <f t="shared" si="2"/>
        <v>High</v>
      </c>
      <c r="K18" s="1" t="str">
        <f t="shared" si="3"/>
        <v>High</v>
      </c>
      <c r="L18" s="1" t="str">
        <f t="shared" si="4"/>
        <v>Normal</v>
      </c>
    </row>
    <row r="19" spans="1:12" x14ac:dyDescent="0.25">
      <c r="A19">
        <v>25</v>
      </c>
      <c r="B19">
        <v>140</v>
      </c>
      <c r="C19">
        <v>100</v>
      </c>
      <c r="D19">
        <v>7.01</v>
      </c>
      <c r="E19">
        <v>98</v>
      </c>
      <c r="F19">
        <v>80</v>
      </c>
      <c r="G19" t="s">
        <v>7</v>
      </c>
      <c r="H19" s="1" t="str">
        <f t="shared" si="0"/>
        <v>20-30</v>
      </c>
      <c r="I19" s="1" t="str">
        <f t="shared" si="1"/>
        <v>Critical</v>
      </c>
      <c r="J19" s="1" t="str">
        <f t="shared" si="2"/>
        <v>Normal</v>
      </c>
      <c r="K19" s="1" t="str">
        <f t="shared" si="3"/>
        <v>Normal</v>
      </c>
      <c r="L19" s="1" t="str">
        <f t="shared" si="4"/>
        <v>Normal</v>
      </c>
    </row>
    <row r="20" spans="1:12" x14ac:dyDescent="0.25">
      <c r="A20">
        <v>30</v>
      </c>
      <c r="B20">
        <v>120</v>
      </c>
      <c r="C20">
        <v>80</v>
      </c>
      <c r="D20">
        <v>6.9</v>
      </c>
      <c r="E20">
        <v>101</v>
      </c>
      <c r="F20">
        <v>76</v>
      </c>
      <c r="G20" t="s">
        <v>9</v>
      </c>
      <c r="H20" s="1" t="str">
        <f t="shared" si="0"/>
        <v>20-30</v>
      </c>
      <c r="I20" s="1" t="str">
        <f t="shared" si="1"/>
        <v>Pre-High</v>
      </c>
      <c r="J20" s="1" t="str">
        <f t="shared" si="2"/>
        <v>Normal</v>
      </c>
      <c r="K20" s="1" t="str">
        <f t="shared" si="3"/>
        <v>Normal</v>
      </c>
      <c r="L20" s="1" t="str">
        <f t="shared" si="4"/>
        <v>High</v>
      </c>
    </row>
    <row r="21" spans="1:12" x14ac:dyDescent="0.25">
      <c r="A21">
        <v>10</v>
      </c>
      <c r="B21">
        <v>70</v>
      </c>
      <c r="C21">
        <v>50</v>
      </c>
      <c r="D21">
        <v>6.9</v>
      </c>
      <c r="E21">
        <v>98</v>
      </c>
      <c r="F21">
        <v>70</v>
      </c>
      <c r="G21" t="s">
        <v>8</v>
      </c>
      <c r="H21" s="1" t="str">
        <f t="shared" si="0"/>
        <v>10-20</v>
      </c>
      <c r="I21" s="1" t="str">
        <f t="shared" si="1"/>
        <v>Low BP</v>
      </c>
      <c r="J21" s="1" t="str">
        <f t="shared" si="2"/>
        <v>Normal</v>
      </c>
      <c r="K21" s="1" t="str">
        <f t="shared" si="3"/>
        <v>Normal</v>
      </c>
      <c r="L21" s="1" t="str">
        <f t="shared" si="4"/>
        <v>Normal</v>
      </c>
    </row>
    <row r="22" spans="1:12" x14ac:dyDescent="0.25">
      <c r="A22">
        <v>40</v>
      </c>
      <c r="B22">
        <v>140</v>
      </c>
      <c r="C22">
        <v>100</v>
      </c>
      <c r="D22">
        <v>18</v>
      </c>
      <c r="E22">
        <v>98</v>
      </c>
      <c r="F22">
        <v>90</v>
      </c>
      <c r="G22" t="s">
        <v>7</v>
      </c>
      <c r="H22" s="1" t="str">
        <f t="shared" si="0"/>
        <v>30-40</v>
      </c>
      <c r="I22" s="1" t="str">
        <f t="shared" si="1"/>
        <v>Critical</v>
      </c>
      <c r="J22" s="1" t="str">
        <f t="shared" si="2"/>
        <v>High</v>
      </c>
      <c r="K22" s="1" t="str">
        <f t="shared" si="3"/>
        <v>High</v>
      </c>
      <c r="L22" s="1" t="str">
        <f t="shared" si="4"/>
        <v>Normal</v>
      </c>
    </row>
    <row r="23" spans="1:12" x14ac:dyDescent="0.25">
      <c r="A23">
        <v>50</v>
      </c>
      <c r="B23">
        <v>140</v>
      </c>
      <c r="C23">
        <v>80</v>
      </c>
      <c r="D23">
        <v>6.7</v>
      </c>
      <c r="E23">
        <v>98</v>
      </c>
      <c r="F23">
        <v>70</v>
      </c>
      <c r="G23" t="s">
        <v>9</v>
      </c>
      <c r="H23" s="1" t="str">
        <f t="shared" si="0"/>
        <v>40-50</v>
      </c>
      <c r="I23" s="1" t="str">
        <f t="shared" si="1"/>
        <v>High</v>
      </c>
      <c r="J23" s="1" t="str">
        <f t="shared" si="2"/>
        <v>Normal</v>
      </c>
      <c r="K23" s="1" t="str">
        <f t="shared" si="3"/>
        <v>Normal</v>
      </c>
      <c r="L23" s="1" t="str">
        <f t="shared" si="4"/>
        <v>Normal</v>
      </c>
    </row>
    <row r="24" spans="1:12" x14ac:dyDescent="0.25">
      <c r="A24">
        <v>21</v>
      </c>
      <c r="B24">
        <v>90</v>
      </c>
      <c r="C24">
        <v>65</v>
      </c>
      <c r="D24">
        <v>7.5</v>
      </c>
      <c r="E24">
        <v>98</v>
      </c>
      <c r="F24">
        <v>76</v>
      </c>
      <c r="G24" t="s">
        <v>8</v>
      </c>
      <c r="H24" s="1" t="str">
        <f t="shared" si="0"/>
        <v>20-30</v>
      </c>
      <c r="I24" s="1" t="str">
        <f t="shared" si="1"/>
        <v>Normal</v>
      </c>
      <c r="J24" s="1" t="str">
        <f t="shared" si="2"/>
        <v>Normal</v>
      </c>
      <c r="K24" s="1" t="str">
        <f t="shared" si="3"/>
        <v>Normal</v>
      </c>
      <c r="L24" s="1" t="str">
        <f t="shared" si="4"/>
        <v>Normal</v>
      </c>
    </row>
    <row r="25" spans="1:12" x14ac:dyDescent="0.25">
      <c r="A25">
        <v>18</v>
      </c>
      <c r="B25">
        <v>90</v>
      </c>
      <c r="C25">
        <v>60</v>
      </c>
      <c r="D25">
        <v>7.5</v>
      </c>
      <c r="E25">
        <v>98</v>
      </c>
      <c r="F25">
        <v>70</v>
      </c>
      <c r="G25" t="s">
        <v>8</v>
      </c>
      <c r="H25" s="1" t="str">
        <f t="shared" si="0"/>
        <v>10-20</v>
      </c>
      <c r="I25" s="1" t="str">
        <f t="shared" si="1"/>
        <v>Normal</v>
      </c>
      <c r="J25" s="1" t="str">
        <f t="shared" si="2"/>
        <v>Normal</v>
      </c>
      <c r="K25" s="1" t="str">
        <f t="shared" si="3"/>
        <v>Normal</v>
      </c>
      <c r="L25" s="1" t="str">
        <f t="shared" si="4"/>
        <v>Normal</v>
      </c>
    </row>
    <row r="26" spans="1:12" x14ac:dyDescent="0.25">
      <c r="A26">
        <v>21</v>
      </c>
      <c r="B26">
        <v>120</v>
      </c>
      <c r="C26">
        <v>80</v>
      </c>
      <c r="D26">
        <v>7.5</v>
      </c>
      <c r="E26">
        <v>98</v>
      </c>
      <c r="F26">
        <v>76</v>
      </c>
      <c r="G26" t="s">
        <v>8</v>
      </c>
      <c r="H26" s="1" t="str">
        <f t="shared" si="0"/>
        <v>20-30</v>
      </c>
      <c r="I26" s="1" t="str">
        <f t="shared" si="1"/>
        <v>Pre-High</v>
      </c>
      <c r="J26" s="1" t="str">
        <f t="shared" si="2"/>
        <v>Normal</v>
      </c>
      <c r="K26" s="1" t="str">
        <f t="shared" si="3"/>
        <v>Normal</v>
      </c>
      <c r="L26" s="1" t="str">
        <f t="shared" si="4"/>
        <v>Normal</v>
      </c>
    </row>
    <row r="27" spans="1:12" x14ac:dyDescent="0.25">
      <c r="A27">
        <v>16</v>
      </c>
      <c r="B27">
        <v>100</v>
      </c>
      <c r="C27">
        <v>70</v>
      </c>
      <c r="D27">
        <v>7.2</v>
      </c>
      <c r="E27">
        <v>98</v>
      </c>
      <c r="F27">
        <v>80</v>
      </c>
      <c r="G27" t="s">
        <v>8</v>
      </c>
      <c r="H27" s="1" t="str">
        <f t="shared" si="0"/>
        <v>10-20</v>
      </c>
      <c r="I27" s="1" t="str">
        <f t="shared" si="1"/>
        <v>Normal</v>
      </c>
      <c r="J27" s="1" t="str">
        <f t="shared" si="2"/>
        <v>Normal</v>
      </c>
      <c r="K27" s="1" t="str">
        <f t="shared" si="3"/>
        <v>Normal</v>
      </c>
      <c r="L27" s="1" t="str">
        <f t="shared" si="4"/>
        <v>Normal</v>
      </c>
    </row>
    <row r="28" spans="1:12" x14ac:dyDescent="0.25">
      <c r="A28">
        <v>19</v>
      </c>
      <c r="B28">
        <v>120</v>
      </c>
      <c r="C28">
        <v>75</v>
      </c>
      <c r="D28">
        <v>7.2</v>
      </c>
      <c r="E28">
        <v>98</v>
      </c>
      <c r="F28">
        <v>66</v>
      </c>
      <c r="G28" t="s">
        <v>8</v>
      </c>
      <c r="H28" s="1" t="str">
        <f t="shared" si="0"/>
        <v>10-20</v>
      </c>
      <c r="I28" s="1" t="str">
        <f t="shared" si="1"/>
        <v>Pre-High</v>
      </c>
      <c r="J28" s="1" t="str">
        <f t="shared" si="2"/>
        <v>Normal</v>
      </c>
      <c r="K28" s="1" t="str">
        <f t="shared" si="3"/>
        <v>Low</v>
      </c>
      <c r="L28" s="1" t="str">
        <f t="shared" si="4"/>
        <v>Normal</v>
      </c>
    </row>
    <row r="29" spans="1:12" x14ac:dyDescent="0.25">
      <c r="A29">
        <v>22</v>
      </c>
      <c r="B29">
        <v>100</v>
      </c>
      <c r="C29">
        <v>65</v>
      </c>
      <c r="D29">
        <v>7.2</v>
      </c>
      <c r="E29">
        <v>98</v>
      </c>
      <c r="F29">
        <v>70</v>
      </c>
      <c r="G29" t="s">
        <v>8</v>
      </c>
      <c r="H29" s="1" t="str">
        <f t="shared" si="0"/>
        <v>20-30</v>
      </c>
      <c r="I29" s="1" t="str">
        <f t="shared" si="1"/>
        <v>Normal</v>
      </c>
      <c r="J29" s="1" t="str">
        <f t="shared" si="2"/>
        <v>Normal</v>
      </c>
      <c r="K29" s="1" t="str">
        <f t="shared" si="3"/>
        <v>Normal</v>
      </c>
      <c r="L29" s="1" t="str">
        <f t="shared" si="4"/>
        <v>Normal</v>
      </c>
    </row>
    <row r="30" spans="1:12" x14ac:dyDescent="0.25">
      <c r="A30">
        <v>49</v>
      </c>
      <c r="B30">
        <v>120</v>
      </c>
      <c r="C30">
        <v>90</v>
      </c>
      <c r="D30">
        <v>7.2</v>
      </c>
      <c r="E30">
        <v>98</v>
      </c>
      <c r="F30">
        <v>77</v>
      </c>
      <c r="G30" t="s">
        <v>8</v>
      </c>
      <c r="H30" s="1" t="str">
        <f t="shared" si="0"/>
        <v>40-50</v>
      </c>
      <c r="I30" s="1" t="str">
        <f t="shared" si="1"/>
        <v>High</v>
      </c>
      <c r="J30" s="1" t="str">
        <f t="shared" si="2"/>
        <v>Normal</v>
      </c>
      <c r="K30" s="1" t="str">
        <f t="shared" si="3"/>
        <v>Normal</v>
      </c>
      <c r="L30" s="1" t="str">
        <f t="shared" si="4"/>
        <v>Normal</v>
      </c>
    </row>
    <row r="31" spans="1:12" x14ac:dyDescent="0.25">
      <c r="A31">
        <v>28</v>
      </c>
      <c r="B31">
        <v>90</v>
      </c>
      <c r="C31">
        <v>60</v>
      </c>
      <c r="D31">
        <v>7.2</v>
      </c>
      <c r="E31">
        <v>98</v>
      </c>
      <c r="F31">
        <v>82</v>
      </c>
      <c r="G31" t="s">
        <v>8</v>
      </c>
      <c r="H31" s="1" t="str">
        <f t="shared" si="0"/>
        <v>20-30</v>
      </c>
      <c r="I31" s="1" t="str">
        <f t="shared" si="1"/>
        <v>Normal</v>
      </c>
      <c r="J31" s="1" t="str">
        <f t="shared" si="2"/>
        <v>Normal</v>
      </c>
      <c r="K31" s="1" t="str">
        <f t="shared" si="3"/>
        <v>Normal</v>
      </c>
      <c r="L31" s="1" t="str">
        <f t="shared" si="4"/>
        <v>Normal</v>
      </c>
    </row>
    <row r="32" spans="1:12" x14ac:dyDescent="0.25">
      <c r="A32">
        <v>20</v>
      </c>
      <c r="B32">
        <v>100</v>
      </c>
      <c r="C32">
        <v>90</v>
      </c>
      <c r="D32">
        <v>7.1</v>
      </c>
      <c r="E32">
        <v>98</v>
      </c>
      <c r="F32">
        <v>88</v>
      </c>
      <c r="G32" t="s">
        <v>8</v>
      </c>
      <c r="H32" s="1" t="str">
        <f t="shared" si="0"/>
        <v>10-20</v>
      </c>
      <c r="I32" s="1" t="str">
        <f t="shared" si="1"/>
        <v>High</v>
      </c>
      <c r="J32" s="1" t="str">
        <f t="shared" si="2"/>
        <v>Normal</v>
      </c>
      <c r="K32" s="1" t="str">
        <f t="shared" si="3"/>
        <v>High</v>
      </c>
      <c r="L32" s="1" t="str">
        <f t="shared" si="4"/>
        <v>Normal</v>
      </c>
    </row>
    <row r="33" spans="1:12" x14ac:dyDescent="0.25">
      <c r="A33">
        <v>23</v>
      </c>
      <c r="B33">
        <v>100</v>
      </c>
      <c r="C33">
        <v>85</v>
      </c>
      <c r="D33">
        <v>7.1</v>
      </c>
      <c r="E33">
        <v>98</v>
      </c>
      <c r="F33">
        <v>66</v>
      </c>
      <c r="G33" t="s">
        <v>8</v>
      </c>
      <c r="H33" s="1" t="str">
        <f t="shared" si="0"/>
        <v>20-30</v>
      </c>
      <c r="I33" s="1" t="str">
        <f t="shared" si="1"/>
        <v>Pre-High</v>
      </c>
      <c r="J33" s="1" t="str">
        <f t="shared" si="2"/>
        <v>Normal</v>
      </c>
      <c r="K33" s="1" t="str">
        <f t="shared" si="3"/>
        <v>Low</v>
      </c>
      <c r="L33" s="1" t="str">
        <f t="shared" si="4"/>
        <v>Normal</v>
      </c>
    </row>
    <row r="34" spans="1:12" x14ac:dyDescent="0.25">
      <c r="A34">
        <v>22</v>
      </c>
      <c r="B34">
        <v>120</v>
      </c>
      <c r="C34">
        <v>90</v>
      </c>
      <c r="D34">
        <v>7.1</v>
      </c>
      <c r="E34">
        <v>98</v>
      </c>
      <c r="F34">
        <v>82</v>
      </c>
      <c r="G34" t="s">
        <v>8</v>
      </c>
      <c r="H34" s="1" t="str">
        <f t="shared" si="0"/>
        <v>20-30</v>
      </c>
      <c r="I34" s="1" t="str">
        <f t="shared" si="1"/>
        <v>High</v>
      </c>
      <c r="J34" s="1" t="str">
        <f t="shared" si="2"/>
        <v>Normal</v>
      </c>
      <c r="K34" s="1" t="str">
        <f t="shared" si="3"/>
        <v>Normal</v>
      </c>
      <c r="L34" s="1" t="str">
        <f t="shared" si="4"/>
        <v>Normal</v>
      </c>
    </row>
    <row r="35" spans="1:12" x14ac:dyDescent="0.25">
      <c r="A35">
        <v>21</v>
      </c>
      <c r="B35">
        <v>120</v>
      </c>
      <c r="C35">
        <v>80</v>
      </c>
      <c r="D35">
        <v>7.1</v>
      </c>
      <c r="E35">
        <v>98</v>
      </c>
      <c r="F35">
        <v>77</v>
      </c>
      <c r="G35" t="s">
        <v>8</v>
      </c>
      <c r="H35" s="1" t="str">
        <f t="shared" si="0"/>
        <v>20-30</v>
      </c>
      <c r="I35" s="1" t="str">
        <f t="shared" si="1"/>
        <v>Pre-High</v>
      </c>
      <c r="J35" s="1" t="str">
        <f t="shared" si="2"/>
        <v>Normal</v>
      </c>
      <c r="K35" s="1" t="str">
        <f t="shared" si="3"/>
        <v>Normal</v>
      </c>
      <c r="L35" s="1" t="str">
        <f t="shared" si="4"/>
        <v>Normal</v>
      </c>
    </row>
    <row r="36" spans="1:12" x14ac:dyDescent="0.25">
      <c r="A36">
        <v>21</v>
      </c>
      <c r="B36">
        <v>75</v>
      </c>
      <c r="C36">
        <v>50</v>
      </c>
      <c r="D36">
        <v>6.1</v>
      </c>
      <c r="E36">
        <v>98</v>
      </c>
      <c r="F36">
        <v>70</v>
      </c>
      <c r="G36" t="s">
        <v>8</v>
      </c>
      <c r="H36" s="1" t="str">
        <f t="shared" si="0"/>
        <v>20-30</v>
      </c>
      <c r="I36" s="1" t="str">
        <f t="shared" si="1"/>
        <v>Low BP</v>
      </c>
      <c r="J36" s="1" t="str">
        <f t="shared" si="2"/>
        <v>Normal</v>
      </c>
      <c r="K36" s="1" t="str">
        <f t="shared" si="3"/>
        <v>Normal</v>
      </c>
      <c r="L36" s="1" t="str">
        <f t="shared" si="4"/>
        <v>Normal</v>
      </c>
    </row>
    <row r="37" spans="1:12" x14ac:dyDescent="0.25">
      <c r="A37">
        <v>12</v>
      </c>
      <c r="B37">
        <v>95</v>
      </c>
      <c r="C37">
        <v>60</v>
      </c>
      <c r="D37">
        <v>6.1</v>
      </c>
      <c r="E37">
        <v>102</v>
      </c>
      <c r="F37">
        <v>60</v>
      </c>
      <c r="G37" t="s">
        <v>8</v>
      </c>
      <c r="H37" s="1" t="str">
        <f t="shared" si="0"/>
        <v>10-20</v>
      </c>
      <c r="I37" s="1" t="str">
        <f t="shared" si="1"/>
        <v>Normal</v>
      </c>
      <c r="J37" s="1" t="str">
        <f t="shared" si="2"/>
        <v>Normal</v>
      </c>
      <c r="K37" s="1" t="str">
        <f t="shared" si="3"/>
        <v>Low</v>
      </c>
      <c r="L37" s="1" t="str">
        <f t="shared" si="4"/>
        <v>High</v>
      </c>
    </row>
    <row r="38" spans="1:12" x14ac:dyDescent="0.25">
      <c r="A38">
        <v>60</v>
      </c>
      <c r="B38">
        <v>120</v>
      </c>
      <c r="C38">
        <v>80</v>
      </c>
      <c r="D38">
        <v>6.1</v>
      </c>
      <c r="E38">
        <v>98</v>
      </c>
      <c r="F38">
        <v>75</v>
      </c>
      <c r="G38" t="s">
        <v>8</v>
      </c>
      <c r="H38" s="1" t="str">
        <f t="shared" si="0"/>
        <v>50+</v>
      </c>
      <c r="I38" s="1" t="str">
        <f t="shared" si="1"/>
        <v>Pre-High</v>
      </c>
      <c r="J38" s="1" t="str">
        <f t="shared" si="2"/>
        <v>Normal</v>
      </c>
      <c r="K38" s="1" t="str">
        <f t="shared" si="3"/>
        <v>Normal</v>
      </c>
      <c r="L38" s="1" t="str">
        <f t="shared" si="4"/>
        <v>Normal</v>
      </c>
    </row>
    <row r="39" spans="1:12" x14ac:dyDescent="0.25">
      <c r="A39">
        <v>55</v>
      </c>
      <c r="B39">
        <v>100</v>
      </c>
      <c r="C39">
        <v>65</v>
      </c>
      <c r="D39">
        <v>6.1</v>
      </c>
      <c r="E39">
        <v>98</v>
      </c>
      <c r="F39">
        <v>66</v>
      </c>
      <c r="G39" t="s">
        <v>8</v>
      </c>
      <c r="H39" s="1" t="str">
        <f t="shared" si="0"/>
        <v>50+</v>
      </c>
      <c r="I39" s="1" t="str">
        <f t="shared" si="1"/>
        <v>Normal</v>
      </c>
      <c r="J39" s="1" t="str">
        <f t="shared" si="2"/>
        <v>Normal</v>
      </c>
      <c r="K39" s="1" t="str">
        <f t="shared" si="3"/>
        <v>Low</v>
      </c>
      <c r="L39" s="1" t="str">
        <f t="shared" si="4"/>
        <v>Normal</v>
      </c>
    </row>
    <row r="40" spans="1:12" x14ac:dyDescent="0.25">
      <c r="A40">
        <v>45</v>
      </c>
      <c r="B40">
        <v>120</v>
      </c>
      <c r="C40">
        <v>95</v>
      </c>
      <c r="D40">
        <v>6.1</v>
      </c>
      <c r="E40">
        <v>98</v>
      </c>
      <c r="F40">
        <v>66</v>
      </c>
      <c r="G40" t="s">
        <v>8</v>
      </c>
      <c r="H40" s="1" t="str">
        <f t="shared" si="0"/>
        <v>40-50</v>
      </c>
      <c r="I40" s="1" t="str">
        <f t="shared" si="1"/>
        <v>High</v>
      </c>
      <c r="J40" s="1" t="str">
        <f t="shared" si="2"/>
        <v>Normal</v>
      </c>
      <c r="K40" s="1" t="str">
        <f t="shared" si="3"/>
        <v>Low</v>
      </c>
      <c r="L40" s="1" t="str">
        <f t="shared" si="4"/>
        <v>Normal</v>
      </c>
    </row>
    <row r="41" spans="1:12" x14ac:dyDescent="0.25">
      <c r="A41">
        <v>35</v>
      </c>
      <c r="B41">
        <v>100</v>
      </c>
      <c r="C41">
        <v>70</v>
      </c>
      <c r="D41">
        <v>6.1</v>
      </c>
      <c r="E41">
        <v>98</v>
      </c>
      <c r="F41">
        <v>66</v>
      </c>
      <c r="G41" t="s">
        <v>8</v>
      </c>
      <c r="H41" s="1" t="str">
        <f t="shared" si="0"/>
        <v>30-40</v>
      </c>
      <c r="I41" s="1" t="str">
        <f t="shared" si="1"/>
        <v>Normal</v>
      </c>
      <c r="J41" s="1" t="str">
        <f t="shared" si="2"/>
        <v>Normal</v>
      </c>
      <c r="K41" s="1" t="str">
        <f t="shared" si="3"/>
        <v>Low</v>
      </c>
      <c r="L41" s="1" t="str">
        <f t="shared" si="4"/>
        <v>Normal</v>
      </c>
    </row>
    <row r="42" spans="1:12" x14ac:dyDescent="0.25">
      <c r="A42">
        <v>22</v>
      </c>
      <c r="B42">
        <v>120</v>
      </c>
      <c r="C42">
        <v>85</v>
      </c>
      <c r="D42">
        <v>6.1</v>
      </c>
      <c r="E42">
        <v>98</v>
      </c>
      <c r="F42">
        <v>88</v>
      </c>
      <c r="G42" t="s">
        <v>8</v>
      </c>
      <c r="H42" s="1" t="str">
        <f t="shared" si="0"/>
        <v>20-30</v>
      </c>
      <c r="I42" s="1" t="str">
        <f t="shared" si="1"/>
        <v>Pre-High</v>
      </c>
      <c r="J42" s="1" t="str">
        <f t="shared" si="2"/>
        <v>Normal</v>
      </c>
      <c r="K42" s="1" t="str">
        <f t="shared" si="3"/>
        <v>High</v>
      </c>
      <c r="L42" s="1" t="str">
        <f t="shared" si="4"/>
        <v>Normal</v>
      </c>
    </row>
    <row r="43" spans="1:12" x14ac:dyDescent="0.25">
      <c r="A43">
        <v>23</v>
      </c>
      <c r="B43">
        <v>120</v>
      </c>
      <c r="C43">
        <v>90</v>
      </c>
      <c r="D43">
        <v>6.1</v>
      </c>
      <c r="E43">
        <v>98</v>
      </c>
      <c r="F43">
        <v>60</v>
      </c>
      <c r="G43" t="s">
        <v>8</v>
      </c>
      <c r="H43" s="1" t="str">
        <f t="shared" si="0"/>
        <v>20-30</v>
      </c>
      <c r="I43" s="1" t="str">
        <f t="shared" si="1"/>
        <v>High</v>
      </c>
      <c r="J43" s="1" t="str">
        <f t="shared" si="2"/>
        <v>Normal</v>
      </c>
      <c r="K43" s="1" t="str">
        <f t="shared" si="3"/>
        <v>Low</v>
      </c>
      <c r="L43" s="1" t="str">
        <f t="shared" si="4"/>
        <v>Normal</v>
      </c>
    </row>
    <row r="44" spans="1:12" x14ac:dyDescent="0.25">
      <c r="A44">
        <v>25</v>
      </c>
      <c r="B44">
        <v>90</v>
      </c>
      <c r="C44">
        <v>70</v>
      </c>
      <c r="D44">
        <v>6.1</v>
      </c>
      <c r="E44">
        <v>98</v>
      </c>
      <c r="F44">
        <v>80</v>
      </c>
      <c r="G44" t="s">
        <v>8</v>
      </c>
      <c r="H44" s="1" t="str">
        <f t="shared" si="0"/>
        <v>20-30</v>
      </c>
      <c r="I44" s="1" t="str">
        <f t="shared" si="1"/>
        <v>Normal</v>
      </c>
      <c r="J44" s="1" t="str">
        <f t="shared" si="2"/>
        <v>Normal</v>
      </c>
      <c r="K44" s="1" t="str">
        <f t="shared" si="3"/>
        <v>Normal</v>
      </c>
      <c r="L44" s="1" t="str">
        <f t="shared" si="4"/>
        <v>Normal</v>
      </c>
    </row>
    <row r="45" spans="1:12" x14ac:dyDescent="0.25">
      <c r="A45">
        <v>30</v>
      </c>
      <c r="B45">
        <v>120</v>
      </c>
      <c r="C45">
        <v>80</v>
      </c>
      <c r="D45">
        <v>6.1</v>
      </c>
      <c r="E45">
        <v>98</v>
      </c>
      <c r="F45">
        <v>70</v>
      </c>
      <c r="G45" t="s">
        <v>8</v>
      </c>
      <c r="H45" s="1" t="str">
        <f t="shared" si="0"/>
        <v>20-30</v>
      </c>
      <c r="I45" s="1" t="str">
        <f t="shared" si="1"/>
        <v>Pre-High</v>
      </c>
      <c r="J45" s="1" t="str">
        <f t="shared" si="2"/>
        <v>Normal</v>
      </c>
      <c r="K45" s="1" t="str">
        <f t="shared" si="3"/>
        <v>Normal</v>
      </c>
      <c r="L45" s="1" t="str">
        <f t="shared" si="4"/>
        <v>Normal</v>
      </c>
    </row>
    <row r="46" spans="1:12" x14ac:dyDescent="0.25">
      <c r="A46">
        <v>23</v>
      </c>
      <c r="B46">
        <v>120</v>
      </c>
      <c r="C46">
        <v>90</v>
      </c>
      <c r="D46">
        <v>6.1</v>
      </c>
      <c r="E46">
        <v>98</v>
      </c>
      <c r="F46">
        <v>70</v>
      </c>
      <c r="G46" t="s">
        <v>8</v>
      </c>
      <c r="H46" s="1" t="str">
        <f t="shared" si="0"/>
        <v>20-30</v>
      </c>
      <c r="I46" s="1" t="str">
        <f t="shared" si="1"/>
        <v>High</v>
      </c>
      <c r="J46" s="1" t="str">
        <f t="shared" si="2"/>
        <v>Normal</v>
      </c>
      <c r="K46" s="1" t="str">
        <f t="shared" si="3"/>
        <v>Normal</v>
      </c>
      <c r="L46" s="1" t="str">
        <f t="shared" si="4"/>
        <v>Normal</v>
      </c>
    </row>
    <row r="47" spans="1:12" x14ac:dyDescent="0.25">
      <c r="A47">
        <v>32</v>
      </c>
      <c r="B47">
        <v>120</v>
      </c>
      <c r="C47">
        <v>90</v>
      </c>
      <c r="D47">
        <v>7.5</v>
      </c>
      <c r="E47">
        <v>98</v>
      </c>
      <c r="F47">
        <v>70</v>
      </c>
      <c r="G47" t="s">
        <v>8</v>
      </c>
      <c r="H47" s="1" t="str">
        <f t="shared" si="0"/>
        <v>30-40</v>
      </c>
      <c r="I47" s="1" t="str">
        <f t="shared" si="1"/>
        <v>High</v>
      </c>
      <c r="J47" s="1" t="str">
        <f t="shared" si="2"/>
        <v>Normal</v>
      </c>
      <c r="K47" s="1" t="str">
        <f t="shared" si="3"/>
        <v>Normal</v>
      </c>
      <c r="L47" s="1" t="str">
        <f t="shared" si="4"/>
        <v>Normal</v>
      </c>
    </row>
    <row r="48" spans="1:12" x14ac:dyDescent="0.25">
      <c r="A48">
        <v>42</v>
      </c>
      <c r="B48">
        <v>120</v>
      </c>
      <c r="C48">
        <v>80</v>
      </c>
      <c r="D48">
        <v>7.5</v>
      </c>
      <c r="E48">
        <v>98</v>
      </c>
      <c r="F48">
        <v>70</v>
      </c>
      <c r="G48" t="s">
        <v>8</v>
      </c>
      <c r="H48" s="1" t="str">
        <f t="shared" si="0"/>
        <v>40-50</v>
      </c>
      <c r="I48" s="1" t="str">
        <f t="shared" si="1"/>
        <v>Pre-High</v>
      </c>
      <c r="J48" s="1" t="str">
        <f t="shared" si="2"/>
        <v>Normal</v>
      </c>
      <c r="K48" s="1" t="str">
        <f t="shared" si="3"/>
        <v>Normal</v>
      </c>
      <c r="L48" s="1" t="str">
        <f t="shared" si="4"/>
        <v>Normal</v>
      </c>
    </row>
    <row r="49" spans="1:12" x14ac:dyDescent="0.25">
      <c r="A49">
        <v>23</v>
      </c>
      <c r="B49">
        <v>90</v>
      </c>
      <c r="C49">
        <v>60</v>
      </c>
      <c r="D49">
        <v>7.5</v>
      </c>
      <c r="E49">
        <v>98</v>
      </c>
      <c r="F49">
        <v>76</v>
      </c>
      <c r="G49" t="s">
        <v>8</v>
      </c>
      <c r="H49" s="1" t="str">
        <f t="shared" si="0"/>
        <v>20-30</v>
      </c>
      <c r="I49" s="1" t="str">
        <f t="shared" si="1"/>
        <v>Normal</v>
      </c>
      <c r="J49" s="1" t="str">
        <f t="shared" si="2"/>
        <v>Normal</v>
      </c>
      <c r="K49" s="1" t="str">
        <f t="shared" si="3"/>
        <v>Normal</v>
      </c>
      <c r="L49" s="1" t="str">
        <f t="shared" si="4"/>
        <v>Normal</v>
      </c>
    </row>
    <row r="50" spans="1:12" x14ac:dyDescent="0.25">
      <c r="A50">
        <v>15</v>
      </c>
      <c r="B50">
        <v>76</v>
      </c>
      <c r="C50">
        <v>49</v>
      </c>
      <c r="D50">
        <v>7.5</v>
      </c>
      <c r="E50">
        <v>98</v>
      </c>
      <c r="F50">
        <v>77</v>
      </c>
      <c r="G50" t="s">
        <v>8</v>
      </c>
      <c r="H50" s="1" t="str">
        <f t="shared" si="0"/>
        <v>10-20</v>
      </c>
      <c r="I50" s="1" t="str">
        <f t="shared" si="1"/>
        <v>Low BP</v>
      </c>
      <c r="J50" s="1" t="str">
        <f t="shared" si="2"/>
        <v>Normal</v>
      </c>
      <c r="K50" s="1" t="str">
        <f t="shared" si="3"/>
        <v>Normal</v>
      </c>
      <c r="L50" s="1" t="str">
        <f t="shared" si="4"/>
        <v>Normal</v>
      </c>
    </row>
    <row r="51" spans="1:12" x14ac:dyDescent="0.25">
      <c r="A51">
        <v>15</v>
      </c>
      <c r="B51">
        <v>120</v>
      </c>
      <c r="C51">
        <v>80</v>
      </c>
      <c r="D51">
        <v>7</v>
      </c>
      <c r="E51">
        <v>98</v>
      </c>
      <c r="F51">
        <v>70</v>
      </c>
      <c r="G51" t="s">
        <v>8</v>
      </c>
      <c r="H51" s="1" t="str">
        <f t="shared" si="0"/>
        <v>10-20</v>
      </c>
      <c r="I51" s="1" t="str">
        <f t="shared" si="1"/>
        <v>Pre-High</v>
      </c>
      <c r="J51" s="1" t="str">
        <f t="shared" si="2"/>
        <v>Normal</v>
      </c>
      <c r="K51" s="1" t="str">
        <f t="shared" si="3"/>
        <v>Normal</v>
      </c>
      <c r="L51" s="1" t="str">
        <f t="shared" si="4"/>
        <v>Normal</v>
      </c>
    </row>
    <row r="52" spans="1:12" x14ac:dyDescent="0.25">
      <c r="A52">
        <v>25</v>
      </c>
      <c r="B52">
        <v>120</v>
      </c>
      <c r="C52">
        <v>80</v>
      </c>
      <c r="D52">
        <v>7</v>
      </c>
      <c r="E52">
        <v>98</v>
      </c>
      <c r="F52">
        <v>66</v>
      </c>
      <c r="G52" t="s">
        <v>8</v>
      </c>
      <c r="H52" s="1" t="str">
        <f t="shared" si="0"/>
        <v>20-30</v>
      </c>
      <c r="I52" s="1" t="str">
        <f t="shared" si="1"/>
        <v>Pre-High</v>
      </c>
      <c r="J52" s="1" t="str">
        <f t="shared" si="2"/>
        <v>Normal</v>
      </c>
      <c r="K52" s="1" t="str">
        <f t="shared" si="3"/>
        <v>Low</v>
      </c>
      <c r="L52" s="1" t="str">
        <f t="shared" si="4"/>
        <v>Normal</v>
      </c>
    </row>
    <row r="53" spans="1:12" x14ac:dyDescent="0.25">
      <c r="A53">
        <v>22</v>
      </c>
      <c r="B53">
        <v>100</v>
      </c>
      <c r="C53">
        <v>65</v>
      </c>
      <c r="D53">
        <v>7</v>
      </c>
      <c r="E53">
        <v>98</v>
      </c>
      <c r="F53">
        <v>80</v>
      </c>
      <c r="G53" t="s">
        <v>8</v>
      </c>
      <c r="H53" s="1" t="str">
        <f t="shared" si="0"/>
        <v>20-30</v>
      </c>
      <c r="I53" s="1" t="str">
        <f t="shared" si="1"/>
        <v>Normal</v>
      </c>
      <c r="J53" s="1" t="str">
        <f t="shared" si="2"/>
        <v>Normal</v>
      </c>
      <c r="K53" s="1" t="str">
        <f t="shared" si="3"/>
        <v>Normal</v>
      </c>
      <c r="L53" s="1" t="str">
        <f t="shared" si="4"/>
        <v>Normal</v>
      </c>
    </row>
    <row r="54" spans="1:12" x14ac:dyDescent="0.25">
      <c r="A54">
        <v>35</v>
      </c>
      <c r="B54">
        <v>100</v>
      </c>
      <c r="C54">
        <v>70</v>
      </c>
      <c r="D54">
        <v>7</v>
      </c>
      <c r="E54">
        <v>98</v>
      </c>
      <c r="F54">
        <v>60</v>
      </c>
      <c r="G54" t="s">
        <v>8</v>
      </c>
      <c r="H54" s="1" t="str">
        <f t="shared" si="0"/>
        <v>30-40</v>
      </c>
      <c r="I54" s="1" t="str">
        <f t="shared" si="1"/>
        <v>Normal</v>
      </c>
      <c r="J54" s="1" t="str">
        <f t="shared" si="2"/>
        <v>Normal</v>
      </c>
      <c r="K54" s="1" t="str">
        <f t="shared" si="3"/>
        <v>Low</v>
      </c>
      <c r="L54" s="1" t="str">
        <f t="shared" si="4"/>
        <v>Normal</v>
      </c>
    </row>
    <row r="55" spans="1:12" x14ac:dyDescent="0.25">
      <c r="A55">
        <v>19</v>
      </c>
      <c r="B55">
        <v>120</v>
      </c>
      <c r="C55">
        <v>85</v>
      </c>
      <c r="D55">
        <v>7</v>
      </c>
      <c r="E55">
        <v>98</v>
      </c>
      <c r="F55">
        <v>60</v>
      </c>
      <c r="G55" t="s">
        <v>8</v>
      </c>
      <c r="H55" s="1" t="str">
        <f t="shared" si="0"/>
        <v>10-20</v>
      </c>
      <c r="I55" s="1" t="str">
        <f t="shared" si="1"/>
        <v>Pre-High</v>
      </c>
      <c r="J55" s="1" t="str">
        <f t="shared" si="2"/>
        <v>Normal</v>
      </c>
      <c r="K55" s="1" t="str">
        <f t="shared" si="3"/>
        <v>Low</v>
      </c>
      <c r="L55" s="1" t="str">
        <f t="shared" si="4"/>
        <v>Normal</v>
      </c>
    </row>
    <row r="56" spans="1:12" x14ac:dyDescent="0.25">
      <c r="A56">
        <v>60</v>
      </c>
      <c r="B56">
        <v>90</v>
      </c>
      <c r="C56">
        <v>65</v>
      </c>
      <c r="D56">
        <v>7</v>
      </c>
      <c r="E56">
        <v>98</v>
      </c>
      <c r="F56">
        <v>77</v>
      </c>
      <c r="G56" t="s">
        <v>8</v>
      </c>
      <c r="H56" s="1" t="str">
        <f t="shared" si="0"/>
        <v>50+</v>
      </c>
      <c r="I56" s="1" t="str">
        <f t="shared" si="1"/>
        <v>Normal</v>
      </c>
      <c r="J56" s="1" t="str">
        <f t="shared" si="2"/>
        <v>Normal</v>
      </c>
      <c r="K56" s="1" t="str">
        <f t="shared" si="3"/>
        <v>Normal</v>
      </c>
      <c r="L56" s="1" t="str">
        <f t="shared" si="4"/>
        <v>Normal</v>
      </c>
    </row>
    <row r="57" spans="1:12" x14ac:dyDescent="0.25">
      <c r="A57">
        <v>23</v>
      </c>
      <c r="B57">
        <v>120</v>
      </c>
      <c r="C57">
        <v>90</v>
      </c>
      <c r="D57">
        <v>6.7</v>
      </c>
      <c r="E57">
        <v>98</v>
      </c>
      <c r="F57">
        <v>70</v>
      </c>
      <c r="G57" t="s">
        <v>8</v>
      </c>
      <c r="H57" s="1" t="str">
        <f t="shared" si="0"/>
        <v>20-30</v>
      </c>
      <c r="I57" s="1" t="str">
        <f t="shared" si="1"/>
        <v>High</v>
      </c>
      <c r="J57" s="1" t="str">
        <f t="shared" si="2"/>
        <v>Normal</v>
      </c>
      <c r="K57" s="1" t="str">
        <f t="shared" si="3"/>
        <v>Normal</v>
      </c>
      <c r="L57" s="1" t="str">
        <f t="shared" si="4"/>
        <v>Normal</v>
      </c>
    </row>
    <row r="58" spans="1:12" x14ac:dyDescent="0.25">
      <c r="A58">
        <v>32</v>
      </c>
      <c r="B58">
        <v>120</v>
      </c>
      <c r="C58">
        <v>90</v>
      </c>
      <c r="D58">
        <v>6.4</v>
      </c>
      <c r="E58">
        <v>98</v>
      </c>
      <c r="F58">
        <v>70</v>
      </c>
      <c r="G58" t="s">
        <v>8</v>
      </c>
      <c r="H58" s="1" t="str">
        <f t="shared" si="0"/>
        <v>30-40</v>
      </c>
      <c r="I58" s="1" t="str">
        <f t="shared" si="1"/>
        <v>High</v>
      </c>
      <c r="J58" s="1" t="str">
        <f t="shared" si="2"/>
        <v>Normal</v>
      </c>
      <c r="K58" s="1" t="str">
        <f t="shared" si="3"/>
        <v>Normal</v>
      </c>
      <c r="L58" s="1" t="str">
        <f t="shared" si="4"/>
        <v>Normal</v>
      </c>
    </row>
    <row r="59" spans="1:12" x14ac:dyDescent="0.25">
      <c r="A59">
        <v>42</v>
      </c>
      <c r="B59">
        <v>120</v>
      </c>
      <c r="C59">
        <v>80</v>
      </c>
      <c r="D59">
        <v>6.4</v>
      </c>
      <c r="E59">
        <v>98</v>
      </c>
      <c r="F59">
        <v>70</v>
      </c>
      <c r="G59" t="s">
        <v>8</v>
      </c>
      <c r="H59" s="1" t="str">
        <f t="shared" si="0"/>
        <v>40-50</v>
      </c>
      <c r="I59" s="1" t="str">
        <f t="shared" si="1"/>
        <v>Pre-High</v>
      </c>
      <c r="J59" s="1" t="str">
        <f t="shared" si="2"/>
        <v>Normal</v>
      </c>
      <c r="K59" s="1" t="str">
        <f t="shared" si="3"/>
        <v>Normal</v>
      </c>
      <c r="L59" s="1" t="str">
        <f t="shared" si="4"/>
        <v>Normal</v>
      </c>
    </row>
    <row r="60" spans="1:12" x14ac:dyDescent="0.25">
      <c r="A60">
        <v>23</v>
      </c>
      <c r="B60">
        <v>90</v>
      </c>
      <c r="C60">
        <v>60</v>
      </c>
      <c r="D60">
        <v>6.4</v>
      </c>
      <c r="E60">
        <v>98</v>
      </c>
      <c r="F60">
        <v>76</v>
      </c>
      <c r="G60" t="s">
        <v>8</v>
      </c>
      <c r="H60" s="1" t="str">
        <f t="shared" si="0"/>
        <v>20-30</v>
      </c>
      <c r="I60" s="1" t="str">
        <f t="shared" si="1"/>
        <v>Normal</v>
      </c>
      <c r="J60" s="1" t="str">
        <f t="shared" si="2"/>
        <v>Normal</v>
      </c>
      <c r="K60" s="1" t="str">
        <f t="shared" si="3"/>
        <v>Normal</v>
      </c>
      <c r="L60" s="1" t="str">
        <f t="shared" si="4"/>
        <v>Normal</v>
      </c>
    </row>
    <row r="61" spans="1:12" x14ac:dyDescent="0.25">
      <c r="A61">
        <v>15</v>
      </c>
      <c r="B61">
        <v>76</v>
      </c>
      <c r="C61">
        <v>49</v>
      </c>
      <c r="D61">
        <v>6.4</v>
      </c>
      <c r="E61">
        <v>98</v>
      </c>
      <c r="F61">
        <v>77</v>
      </c>
      <c r="G61" t="s">
        <v>8</v>
      </c>
      <c r="H61" s="1" t="str">
        <f t="shared" si="0"/>
        <v>10-20</v>
      </c>
      <c r="I61" s="1" t="str">
        <f t="shared" si="1"/>
        <v>Low BP</v>
      </c>
      <c r="J61" s="1" t="str">
        <f t="shared" si="2"/>
        <v>Normal</v>
      </c>
      <c r="K61" s="1" t="str">
        <f t="shared" si="3"/>
        <v>Normal</v>
      </c>
      <c r="L61" s="1" t="str">
        <f t="shared" si="4"/>
        <v>Normal</v>
      </c>
    </row>
    <row r="62" spans="1:12" x14ac:dyDescent="0.25">
      <c r="A62">
        <v>15</v>
      </c>
      <c r="B62">
        <v>120</v>
      </c>
      <c r="C62">
        <v>80</v>
      </c>
      <c r="D62">
        <v>7.2</v>
      </c>
      <c r="E62">
        <v>98</v>
      </c>
      <c r="F62">
        <v>70</v>
      </c>
      <c r="G62" t="s">
        <v>8</v>
      </c>
      <c r="H62" s="1" t="str">
        <f t="shared" si="0"/>
        <v>10-20</v>
      </c>
      <c r="I62" s="1" t="str">
        <f t="shared" si="1"/>
        <v>Pre-High</v>
      </c>
      <c r="J62" s="1" t="str">
        <f t="shared" si="2"/>
        <v>Normal</v>
      </c>
      <c r="K62" s="1" t="str">
        <f t="shared" si="3"/>
        <v>Normal</v>
      </c>
      <c r="L62" s="1" t="str">
        <f t="shared" si="4"/>
        <v>Normal</v>
      </c>
    </row>
    <row r="63" spans="1:12" x14ac:dyDescent="0.25">
      <c r="A63">
        <v>15</v>
      </c>
      <c r="B63">
        <v>80</v>
      </c>
      <c r="C63">
        <v>60</v>
      </c>
      <c r="D63">
        <v>7</v>
      </c>
      <c r="E63">
        <v>98</v>
      </c>
      <c r="F63">
        <v>80</v>
      </c>
      <c r="G63" t="s">
        <v>8</v>
      </c>
      <c r="H63" s="1" t="str">
        <f t="shared" si="0"/>
        <v>10-20</v>
      </c>
      <c r="I63" s="1" t="str">
        <f t="shared" si="1"/>
        <v>Normal</v>
      </c>
      <c r="J63" s="1" t="str">
        <f t="shared" si="2"/>
        <v>Normal</v>
      </c>
      <c r="K63" s="1" t="str">
        <f t="shared" si="3"/>
        <v>Normal</v>
      </c>
      <c r="L63" s="1" t="str">
        <f t="shared" si="4"/>
        <v>Normal</v>
      </c>
    </row>
    <row r="64" spans="1:12" x14ac:dyDescent="0.25">
      <c r="A64">
        <v>12</v>
      </c>
      <c r="B64">
        <v>95</v>
      </c>
      <c r="C64">
        <v>60</v>
      </c>
      <c r="D64">
        <v>7.2</v>
      </c>
      <c r="E64">
        <v>98</v>
      </c>
      <c r="F64">
        <v>77</v>
      </c>
      <c r="G64" t="s">
        <v>8</v>
      </c>
      <c r="H64" s="1" t="str">
        <f t="shared" si="0"/>
        <v>10-20</v>
      </c>
      <c r="I64" s="1" t="str">
        <f t="shared" si="1"/>
        <v>Normal</v>
      </c>
      <c r="J64" s="1" t="str">
        <f t="shared" si="2"/>
        <v>Normal</v>
      </c>
      <c r="K64" s="1" t="str">
        <f t="shared" si="3"/>
        <v>Normal</v>
      </c>
      <c r="L64" s="1" t="str">
        <f t="shared" si="4"/>
        <v>Normal</v>
      </c>
    </row>
    <row r="65" spans="1:12" x14ac:dyDescent="0.25">
      <c r="A65">
        <v>29</v>
      </c>
      <c r="B65">
        <v>90</v>
      </c>
      <c r="C65">
        <v>70</v>
      </c>
      <c r="D65">
        <v>6.7</v>
      </c>
      <c r="E65">
        <v>98</v>
      </c>
      <c r="F65">
        <v>80</v>
      </c>
      <c r="G65" t="s">
        <v>9</v>
      </c>
      <c r="H65" s="1" t="str">
        <f t="shared" si="0"/>
        <v>20-30</v>
      </c>
      <c r="I65" s="1" t="str">
        <f t="shared" si="1"/>
        <v>Normal</v>
      </c>
      <c r="J65" s="1" t="str">
        <f t="shared" si="2"/>
        <v>Normal</v>
      </c>
      <c r="K65" s="1" t="str">
        <f t="shared" si="3"/>
        <v>Normal</v>
      </c>
      <c r="L65" s="1" t="str">
        <f t="shared" si="4"/>
        <v>Normal</v>
      </c>
    </row>
    <row r="66" spans="1:12" x14ac:dyDescent="0.25">
      <c r="A66">
        <v>31</v>
      </c>
      <c r="B66">
        <v>120</v>
      </c>
      <c r="C66">
        <v>60</v>
      </c>
      <c r="D66">
        <v>6.1</v>
      </c>
      <c r="E66">
        <v>98</v>
      </c>
      <c r="F66">
        <v>76</v>
      </c>
      <c r="G66" t="s">
        <v>9</v>
      </c>
      <c r="H66" s="1" t="str">
        <f t="shared" si="0"/>
        <v>30-40</v>
      </c>
      <c r="I66" s="1" t="str">
        <f t="shared" si="1"/>
        <v>Pre-High</v>
      </c>
      <c r="J66" s="1" t="str">
        <f t="shared" si="2"/>
        <v>Normal</v>
      </c>
      <c r="K66" s="1" t="str">
        <f t="shared" si="3"/>
        <v>Normal</v>
      </c>
      <c r="L66" s="1" t="str">
        <f t="shared" si="4"/>
        <v>Normal</v>
      </c>
    </row>
    <row r="67" spans="1:12" x14ac:dyDescent="0.25">
      <c r="A67">
        <v>29</v>
      </c>
      <c r="B67">
        <v>130</v>
      </c>
      <c r="C67">
        <v>70</v>
      </c>
      <c r="D67">
        <v>6.7</v>
      </c>
      <c r="E67">
        <v>98</v>
      </c>
      <c r="F67">
        <v>78</v>
      </c>
      <c r="G67" t="s">
        <v>9</v>
      </c>
      <c r="H67" s="1" t="str">
        <f t="shared" ref="H67:H130" si="5">IF(A67&lt;=20,"10-20",
 IF(A67&lt;=30,"20-30",
 IF(A67&lt;=40,"30-40",
 IF(A67&lt;=50,"40-50","50+"))))</f>
        <v>20-30</v>
      </c>
      <c r="I67" s="1" t="str">
        <f t="shared" ref="I67:I130" si="6">IF(AND(B67&lt;90,C67&lt;60),"Low BP",
 IF(AND(B67&lt;120,C67&lt;80),"Normal",
 IF(AND(B67&lt;140,C67&lt;90),"Pre-High",
 IF(AND(B67&lt;160,C67&lt;100),"High","Critical"))))</f>
        <v>Pre-High</v>
      </c>
      <c r="J67" s="1" t="str">
        <f t="shared" ref="J67:J130" si="7">IF(D67&lt;8,"Normal",
 IF(D67&lt;12,"Slightly High","High"))</f>
        <v>Normal</v>
      </c>
      <c r="K67" s="1" t="str">
        <f t="shared" ref="K67:K130" si="8">IF(F67&lt;70,"Low",
 IF(F67&lt;=85,"Normal","High"))</f>
        <v>Normal</v>
      </c>
      <c r="L67" s="1" t="str">
        <f t="shared" ref="L67:L130" si="9">IF(E67&lt;97.5,"Low",
 IF(E67&lt;=99,"Normal","High"))</f>
        <v>Normal</v>
      </c>
    </row>
    <row r="68" spans="1:12" x14ac:dyDescent="0.25">
      <c r="A68">
        <v>17</v>
      </c>
      <c r="B68">
        <v>85</v>
      </c>
      <c r="C68">
        <v>60</v>
      </c>
      <c r="D68">
        <v>9</v>
      </c>
      <c r="E68">
        <v>102</v>
      </c>
      <c r="F68">
        <v>86</v>
      </c>
      <c r="G68" t="s">
        <v>9</v>
      </c>
      <c r="H68" s="1" t="str">
        <f t="shared" si="5"/>
        <v>10-20</v>
      </c>
      <c r="I68" s="1" t="str">
        <f t="shared" si="6"/>
        <v>Normal</v>
      </c>
      <c r="J68" s="1" t="str">
        <f t="shared" si="7"/>
        <v>Slightly High</v>
      </c>
      <c r="K68" s="1" t="str">
        <f t="shared" si="8"/>
        <v>High</v>
      </c>
      <c r="L68" s="1" t="str">
        <f t="shared" si="9"/>
        <v>High</v>
      </c>
    </row>
    <row r="69" spans="1:12" x14ac:dyDescent="0.25">
      <c r="A69">
        <v>19</v>
      </c>
      <c r="B69">
        <v>120</v>
      </c>
      <c r="C69">
        <v>80</v>
      </c>
      <c r="D69">
        <v>7</v>
      </c>
      <c r="E69">
        <v>98</v>
      </c>
      <c r="F69">
        <v>70</v>
      </c>
      <c r="G69" t="s">
        <v>9</v>
      </c>
      <c r="H69" s="1" t="str">
        <f t="shared" si="5"/>
        <v>10-20</v>
      </c>
      <c r="I69" s="1" t="str">
        <f t="shared" si="6"/>
        <v>Pre-High</v>
      </c>
      <c r="J69" s="1" t="str">
        <f t="shared" si="7"/>
        <v>Normal</v>
      </c>
      <c r="K69" s="1" t="str">
        <f t="shared" si="8"/>
        <v>Normal</v>
      </c>
      <c r="L69" s="1" t="str">
        <f t="shared" si="9"/>
        <v>Normal</v>
      </c>
    </row>
    <row r="70" spans="1:12" x14ac:dyDescent="0.25">
      <c r="A70">
        <v>20</v>
      </c>
      <c r="B70">
        <v>110</v>
      </c>
      <c r="C70">
        <v>60</v>
      </c>
      <c r="D70">
        <v>7</v>
      </c>
      <c r="E70">
        <v>100</v>
      </c>
      <c r="F70">
        <v>70</v>
      </c>
      <c r="G70" t="s">
        <v>9</v>
      </c>
      <c r="H70" s="1" t="str">
        <f t="shared" si="5"/>
        <v>10-20</v>
      </c>
      <c r="I70" s="1" t="str">
        <f t="shared" si="6"/>
        <v>Normal</v>
      </c>
      <c r="J70" s="1" t="str">
        <f t="shared" si="7"/>
        <v>Normal</v>
      </c>
      <c r="K70" s="1" t="str">
        <f t="shared" si="8"/>
        <v>Normal</v>
      </c>
      <c r="L70" s="1" t="str">
        <f t="shared" si="9"/>
        <v>High</v>
      </c>
    </row>
    <row r="71" spans="1:12" x14ac:dyDescent="0.25">
      <c r="A71">
        <v>32</v>
      </c>
      <c r="B71">
        <v>120</v>
      </c>
      <c r="C71">
        <v>65</v>
      </c>
      <c r="D71">
        <v>6</v>
      </c>
      <c r="E71">
        <v>101</v>
      </c>
      <c r="F71">
        <v>76</v>
      </c>
      <c r="G71" t="s">
        <v>9</v>
      </c>
      <c r="H71" s="1" t="str">
        <f t="shared" si="5"/>
        <v>30-40</v>
      </c>
      <c r="I71" s="1" t="str">
        <f t="shared" si="6"/>
        <v>Pre-High</v>
      </c>
      <c r="J71" s="1" t="str">
        <f t="shared" si="7"/>
        <v>Normal</v>
      </c>
      <c r="K71" s="1" t="str">
        <f t="shared" si="8"/>
        <v>Normal</v>
      </c>
      <c r="L71" s="1" t="str">
        <f t="shared" si="9"/>
        <v>High</v>
      </c>
    </row>
    <row r="72" spans="1:12" x14ac:dyDescent="0.25">
      <c r="A72">
        <v>26</v>
      </c>
      <c r="B72">
        <v>85</v>
      </c>
      <c r="C72">
        <v>60</v>
      </c>
      <c r="D72">
        <v>6</v>
      </c>
      <c r="E72">
        <v>101</v>
      </c>
      <c r="F72">
        <v>86</v>
      </c>
      <c r="G72" t="s">
        <v>9</v>
      </c>
      <c r="H72" s="1" t="str">
        <f t="shared" si="5"/>
        <v>20-30</v>
      </c>
      <c r="I72" s="1" t="str">
        <f t="shared" si="6"/>
        <v>Normal</v>
      </c>
      <c r="J72" s="1" t="str">
        <f t="shared" si="7"/>
        <v>Normal</v>
      </c>
      <c r="K72" s="1" t="str">
        <f t="shared" si="8"/>
        <v>High</v>
      </c>
      <c r="L72" s="1" t="str">
        <f t="shared" si="9"/>
        <v>High</v>
      </c>
    </row>
    <row r="73" spans="1:12" x14ac:dyDescent="0.25">
      <c r="A73">
        <v>29</v>
      </c>
      <c r="B73">
        <v>130</v>
      </c>
      <c r="C73">
        <v>70</v>
      </c>
      <c r="D73">
        <v>7.7</v>
      </c>
      <c r="E73">
        <v>98</v>
      </c>
      <c r="F73">
        <v>78</v>
      </c>
      <c r="G73" t="s">
        <v>9</v>
      </c>
      <c r="H73" s="1" t="str">
        <f t="shared" si="5"/>
        <v>20-30</v>
      </c>
      <c r="I73" s="1" t="str">
        <f t="shared" si="6"/>
        <v>Pre-High</v>
      </c>
      <c r="J73" s="1" t="str">
        <f t="shared" si="7"/>
        <v>Normal</v>
      </c>
      <c r="K73" s="1" t="str">
        <f t="shared" si="8"/>
        <v>Normal</v>
      </c>
      <c r="L73" s="1" t="str">
        <f t="shared" si="9"/>
        <v>Normal</v>
      </c>
    </row>
    <row r="74" spans="1:12" x14ac:dyDescent="0.25">
      <c r="A74">
        <v>19</v>
      </c>
      <c r="B74">
        <v>120</v>
      </c>
      <c r="C74">
        <v>80</v>
      </c>
      <c r="D74">
        <v>7</v>
      </c>
      <c r="E74">
        <v>98</v>
      </c>
      <c r="F74">
        <v>70</v>
      </c>
      <c r="G74" t="s">
        <v>9</v>
      </c>
      <c r="H74" s="1" t="str">
        <f t="shared" si="5"/>
        <v>10-20</v>
      </c>
      <c r="I74" s="1" t="str">
        <f t="shared" si="6"/>
        <v>Pre-High</v>
      </c>
      <c r="J74" s="1" t="str">
        <f t="shared" si="7"/>
        <v>Normal</v>
      </c>
      <c r="K74" s="1" t="str">
        <f t="shared" si="8"/>
        <v>Normal</v>
      </c>
      <c r="L74" s="1" t="str">
        <f t="shared" si="9"/>
        <v>Normal</v>
      </c>
    </row>
    <row r="75" spans="1:12" x14ac:dyDescent="0.25">
      <c r="A75">
        <v>54</v>
      </c>
      <c r="B75">
        <v>130</v>
      </c>
      <c r="C75">
        <v>70</v>
      </c>
      <c r="D75">
        <v>12</v>
      </c>
      <c r="E75">
        <v>98</v>
      </c>
      <c r="F75">
        <v>67</v>
      </c>
      <c r="G75" t="s">
        <v>9</v>
      </c>
      <c r="H75" s="1" t="str">
        <f t="shared" si="5"/>
        <v>50+</v>
      </c>
      <c r="I75" s="1" t="str">
        <f t="shared" si="6"/>
        <v>Pre-High</v>
      </c>
      <c r="J75" s="1" t="str">
        <f t="shared" si="7"/>
        <v>High</v>
      </c>
      <c r="K75" s="1" t="str">
        <f t="shared" si="8"/>
        <v>Low</v>
      </c>
      <c r="L75" s="1" t="str">
        <f t="shared" si="9"/>
        <v>Normal</v>
      </c>
    </row>
    <row r="76" spans="1:12" x14ac:dyDescent="0.25">
      <c r="A76">
        <v>44</v>
      </c>
      <c r="B76">
        <v>120</v>
      </c>
      <c r="C76">
        <v>90</v>
      </c>
      <c r="D76">
        <v>16</v>
      </c>
      <c r="E76">
        <v>98</v>
      </c>
      <c r="F76">
        <v>80</v>
      </c>
      <c r="G76" t="s">
        <v>9</v>
      </c>
      <c r="H76" s="1" t="str">
        <f t="shared" si="5"/>
        <v>40-50</v>
      </c>
      <c r="I76" s="1" t="str">
        <f t="shared" si="6"/>
        <v>High</v>
      </c>
      <c r="J76" s="1" t="str">
        <f t="shared" si="7"/>
        <v>High</v>
      </c>
      <c r="K76" s="1" t="str">
        <f t="shared" si="8"/>
        <v>Normal</v>
      </c>
      <c r="L76" s="1" t="str">
        <f t="shared" si="9"/>
        <v>Normal</v>
      </c>
    </row>
    <row r="77" spans="1:12" x14ac:dyDescent="0.25">
      <c r="A77">
        <v>23</v>
      </c>
      <c r="B77">
        <v>130</v>
      </c>
      <c r="C77">
        <v>70</v>
      </c>
      <c r="D77">
        <v>6.9</v>
      </c>
      <c r="E77">
        <v>98</v>
      </c>
      <c r="F77">
        <v>70</v>
      </c>
      <c r="G77" t="s">
        <v>9</v>
      </c>
      <c r="H77" s="1" t="str">
        <f t="shared" si="5"/>
        <v>20-30</v>
      </c>
      <c r="I77" s="1" t="str">
        <f t="shared" si="6"/>
        <v>Pre-High</v>
      </c>
      <c r="J77" s="1" t="str">
        <f t="shared" si="7"/>
        <v>Normal</v>
      </c>
      <c r="K77" s="1" t="str">
        <f t="shared" si="8"/>
        <v>Normal</v>
      </c>
      <c r="L77" s="1" t="str">
        <f t="shared" si="9"/>
        <v>Normal</v>
      </c>
    </row>
    <row r="78" spans="1:12" x14ac:dyDescent="0.25">
      <c r="A78">
        <v>22</v>
      </c>
      <c r="B78">
        <v>85</v>
      </c>
      <c r="C78">
        <v>60</v>
      </c>
      <c r="D78">
        <v>6.9</v>
      </c>
      <c r="E78">
        <v>98</v>
      </c>
      <c r="F78">
        <v>76</v>
      </c>
      <c r="G78" t="s">
        <v>9</v>
      </c>
      <c r="H78" s="1" t="str">
        <f t="shared" si="5"/>
        <v>20-30</v>
      </c>
      <c r="I78" s="1" t="str">
        <f t="shared" si="6"/>
        <v>Normal</v>
      </c>
      <c r="J78" s="1" t="str">
        <f t="shared" si="7"/>
        <v>Normal</v>
      </c>
      <c r="K78" s="1" t="str">
        <f t="shared" si="8"/>
        <v>Normal</v>
      </c>
      <c r="L78" s="1" t="str">
        <f t="shared" si="9"/>
        <v>Normal</v>
      </c>
    </row>
    <row r="79" spans="1:12" x14ac:dyDescent="0.25">
      <c r="A79">
        <v>55</v>
      </c>
      <c r="B79">
        <v>120</v>
      </c>
      <c r="C79">
        <v>90</v>
      </c>
      <c r="D79">
        <v>12</v>
      </c>
      <c r="E79">
        <v>98</v>
      </c>
      <c r="F79">
        <v>70</v>
      </c>
      <c r="G79" t="s">
        <v>9</v>
      </c>
      <c r="H79" s="1" t="str">
        <f t="shared" si="5"/>
        <v>50+</v>
      </c>
      <c r="I79" s="1" t="str">
        <f t="shared" si="6"/>
        <v>High</v>
      </c>
      <c r="J79" s="1" t="str">
        <f t="shared" si="7"/>
        <v>High</v>
      </c>
      <c r="K79" s="1" t="str">
        <f t="shared" si="8"/>
        <v>Normal</v>
      </c>
      <c r="L79" s="1" t="str">
        <f t="shared" si="9"/>
        <v>Normal</v>
      </c>
    </row>
    <row r="80" spans="1:12" x14ac:dyDescent="0.25">
      <c r="A80">
        <v>35</v>
      </c>
      <c r="B80">
        <v>120</v>
      </c>
      <c r="C80">
        <v>80</v>
      </c>
      <c r="D80">
        <v>6.9</v>
      </c>
      <c r="E80">
        <v>98</v>
      </c>
      <c r="F80">
        <v>78</v>
      </c>
      <c r="G80" t="s">
        <v>9</v>
      </c>
      <c r="H80" s="1" t="str">
        <f t="shared" si="5"/>
        <v>30-40</v>
      </c>
      <c r="I80" s="1" t="str">
        <f t="shared" si="6"/>
        <v>Pre-High</v>
      </c>
      <c r="J80" s="1" t="str">
        <f t="shared" si="7"/>
        <v>Normal</v>
      </c>
      <c r="K80" s="1" t="str">
        <f t="shared" si="8"/>
        <v>Normal</v>
      </c>
      <c r="L80" s="1" t="str">
        <f t="shared" si="9"/>
        <v>Normal</v>
      </c>
    </row>
    <row r="81" spans="1:12" x14ac:dyDescent="0.25">
      <c r="A81">
        <v>21</v>
      </c>
      <c r="B81">
        <v>90</v>
      </c>
      <c r="C81">
        <v>60</v>
      </c>
      <c r="D81">
        <v>6.9</v>
      </c>
      <c r="E81">
        <v>98</v>
      </c>
      <c r="F81">
        <v>86</v>
      </c>
      <c r="G81" t="s">
        <v>9</v>
      </c>
      <c r="H81" s="1" t="str">
        <f t="shared" si="5"/>
        <v>20-30</v>
      </c>
      <c r="I81" s="1" t="str">
        <f t="shared" si="6"/>
        <v>Normal</v>
      </c>
      <c r="J81" s="1" t="str">
        <f t="shared" si="7"/>
        <v>Normal</v>
      </c>
      <c r="K81" s="1" t="str">
        <f t="shared" si="8"/>
        <v>High</v>
      </c>
      <c r="L81" s="1" t="str">
        <f t="shared" si="9"/>
        <v>Normal</v>
      </c>
    </row>
    <row r="82" spans="1:12" x14ac:dyDescent="0.25">
      <c r="A82">
        <v>16</v>
      </c>
      <c r="B82">
        <v>90</v>
      </c>
      <c r="C82">
        <v>65</v>
      </c>
      <c r="D82">
        <v>6.9</v>
      </c>
      <c r="E82">
        <v>98</v>
      </c>
      <c r="F82">
        <v>76</v>
      </c>
      <c r="G82" t="s">
        <v>9</v>
      </c>
      <c r="H82" s="1" t="str">
        <f t="shared" si="5"/>
        <v>10-20</v>
      </c>
      <c r="I82" s="1" t="str">
        <f t="shared" si="6"/>
        <v>Normal</v>
      </c>
      <c r="J82" s="1" t="str">
        <f t="shared" si="7"/>
        <v>Normal</v>
      </c>
      <c r="K82" s="1" t="str">
        <f t="shared" si="8"/>
        <v>Normal</v>
      </c>
      <c r="L82" s="1" t="str">
        <f t="shared" si="9"/>
        <v>Normal</v>
      </c>
    </row>
    <row r="83" spans="1:12" x14ac:dyDescent="0.25">
      <c r="A83">
        <v>33</v>
      </c>
      <c r="B83">
        <v>115</v>
      </c>
      <c r="C83">
        <v>65</v>
      </c>
      <c r="D83">
        <v>7</v>
      </c>
      <c r="E83">
        <v>98</v>
      </c>
      <c r="F83">
        <v>70</v>
      </c>
      <c r="G83" t="s">
        <v>9</v>
      </c>
      <c r="H83" s="1" t="str">
        <f t="shared" si="5"/>
        <v>30-40</v>
      </c>
      <c r="I83" s="1" t="str">
        <f t="shared" si="6"/>
        <v>Normal</v>
      </c>
      <c r="J83" s="1" t="str">
        <f t="shared" si="7"/>
        <v>Normal</v>
      </c>
      <c r="K83" s="1" t="str">
        <f t="shared" si="8"/>
        <v>Normal</v>
      </c>
      <c r="L83" s="1" t="str">
        <f t="shared" si="9"/>
        <v>Normal</v>
      </c>
    </row>
    <row r="84" spans="1:12" x14ac:dyDescent="0.25">
      <c r="A84">
        <v>12</v>
      </c>
      <c r="B84">
        <v>95</v>
      </c>
      <c r="C84">
        <v>60</v>
      </c>
      <c r="D84">
        <v>6.9</v>
      </c>
      <c r="E84">
        <v>98</v>
      </c>
      <c r="F84">
        <v>65</v>
      </c>
      <c r="G84" t="s">
        <v>9</v>
      </c>
      <c r="H84" s="1" t="str">
        <f t="shared" si="5"/>
        <v>10-20</v>
      </c>
      <c r="I84" s="1" t="str">
        <f t="shared" si="6"/>
        <v>Normal</v>
      </c>
      <c r="J84" s="1" t="str">
        <f t="shared" si="7"/>
        <v>Normal</v>
      </c>
      <c r="K84" s="1" t="str">
        <f t="shared" si="8"/>
        <v>Low</v>
      </c>
      <c r="L84" s="1" t="str">
        <f t="shared" si="9"/>
        <v>Normal</v>
      </c>
    </row>
    <row r="85" spans="1:12" x14ac:dyDescent="0.25">
      <c r="A85">
        <v>28</v>
      </c>
      <c r="B85">
        <v>120</v>
      </c>
      <c r="C85">
        <v>90</v>
      </c>
      <c r="D85">
        <v>6.9</v>
      </c>
      <c r="E85">
        <v>98</v>
      </c>
      <c r="F85">
        <v>70</v>
      </c>
      <c r="G85" t="s">
        <v>9</v>
      </c>
      <c r="H85" s="1" t="str">
        <f t="shared" si="5"/>
        <v>20-30</v>
      </c>
      <c r="I85" s="1" t="str">
        <f t="shared" si="6"/>
        <v>High</v>
      </c>
      <c r="J85" s="1" t="str">
        <f t="shared" si="7"/>
        <v>Normal</v>
      </c>
      <c r="K85" s="1" t="str">
        <f t="shared" si="8"/>
        <v>Normal</v>
      </c>
      <c r="L85" s="1" t="str">
        <f t="shared" si="9"/>
        <v>Normal</v>
      </c>
    </row>
    <row r="86" spans="1:12" x14ac:dyDescent="0.25">
      <c r="A86">
        <v>21</v>
      </c>
      <c r="B86">
        <v>90</v>
      </c>
      <c r="C86">
        <v>65</v>
      </c>
      <c r="D86">
        <v>6.9</v>
      </c>
      <c r="E86">
        <v>98</v>
      </c>
      <c r="F86">
        <v>76</v>
      </c>
      <c r="G86" t="s">
        <v>9</v>
      </c>
      <c r="H86" s="1" t="str">
        <f t="shared" si="5"/>
        <v>20-30</v>
      </c>
      <c r="I86" s="1" t="str">
        <f t="shared" si="6"/>
        <v>Normal</v>
      </c>
      <c r="J86" s="1" t="str">
        <f t="shared" si="7"/>
        <v>Normal</v>
      </c>
      <c r="K86" s="1" t="str">
        <f t="shared" si="8"/>
        <v>Normal</v>
      </c>
      <c r="L86" s="1" t="str">
        <f t="shared" si="9"/>
        <v>Normal</v>
      </c>
    </row>
    <row r="87" spans="1:12" x14ac:dyDescent="0.25">
      <c r="A87">
        <v>18</v>
      </c>
      <c r="B87">
        <v>90</v>
      </c>
      <c r="C87">
        <v>60</v>
      </c>
      <c r="D87">
        <v>6.9</v>
      </c>
      <c r="E87">
        <v>98</v>
      </c>
      <c r="F87">
        <v>70</v>
      </c>
      <c r="G87" t="s">
        <v>9</v>
      </c>
      <c r="H87" s="1" t="str">
        <f t="shared" si="5"/>
        <v>10-20</v>
      </c>
      <c r="I87" s="1" t="str">
        <f t="shared" si="6"/>
        <v>Normal</v>
      </c>
      <c r="J87" s="1" t="str">
        <f t="shared" si="7"/>
        <v>Normal</v>
      </c>
      <c r="K87" s="1" t="str">
        <f t="shared" si="8"/>
        <v>Normal</v>
      </c>
      <c r="L87" s="1" t="str">
        <f t="shared" si="9"/>
        <v>Normal</v>
      </c>
    </row>
    <row r="88" spans="1:12" x14ac:dyDescent="0.25">
      <c r="A88">
        <v>21</v>
      </c>
      <c r="B88">
        <v>120</v>
      </c>
      <c r="C88">
        <v>80</v>
      </c>
      <c r="D88">
        <v>6.9</v>
      </c>
      <c r="E88">
        <v>98</v>
      </c>
      <c r="F88">
        <v>76</v>
      </c>
      <c r="G88" t="s">
        <v>9</v>
      </c>
      <c r="H88" s="1" t="str">
        <f t="shared" si="5"/>
        <v>20-30</v>
      </c>
      <c r="I88" s="1" t="str">
        <f t="shared" si="6"/>
        <v>Pre-High</v>
      </c>
      <c r="J88" s="1" t="str">
        <f t="shared" si="7"/>
        <v>Normal</v>
      </c>
      <c r="K88" s="1" t="str">
        <f t="shared" si="8"/>
        <v>Normal</v>
      </c>
      <c r="L88" s="1" t="str">
        <f t="shared" si="9"/>
        <v>Normal</v>
      </c>
    </row>
    <row r="89" spans="1:12" x14ac:dyDescent="0.25">
      <c r="A89">
        <v>16</v>
      </c>
      <c r="B89">
        <v>100</v>
      </c>
      <c r="C89">
        <v>70</v>
      </c>
      <c r="D89">
        <v>6.9</v>
      </c>
      <c r="E89">
        <v>98</v>
      </c>
      <c r="F89">
        <v>80</v>
      </c>
      <c r="G89" t="s">
        <v>9</v>
      </c>
      <c r="H89" s="1" t="str">
        <f t="shared" si="5"/>
        <v>10-20</v>
      </c>
      <c r="I89" s="1" t="str">
        <f t="shared" si="6"/>
        <v>Normal</v>
      </c>
      <c r="J89" s="1" t="str">
        <f t="shared" si="7"/>
        <v>Normal</v>
      </c>
      <c r="K89" s="1" t="str">
        <f t="shared" si="8"/>
        <v>Normal</v>
      </c>
      <c r="L89" s="1" t="str">
        <f t="shared" si="9"/>
        <v>Normal</v>
      </c>
    </row>
    <row r="90" spans="1:12" x14ac:dyDescent="0.25">
      <c r="A90">
        <v>19</v>
      </c>
      <c r="B90">
        <v>120</v>
      </c>
      <c r="C90">
        <v>75</v>
      </c>
      <c r="D90">
        <v>6.9</v>
      </c>
      <c r="E90">
        <v>98</v>
      </c>
      <c r="F90">
        <v>66</v>
      </c>
      <c r="G90" t="s">
        <v>9</v>
      </c>
      <c r="H90" s="1" t="str">
        <f t="shared" si="5"/>
        <v>10-20</v>
      </c>
      <c r="I90" s="1" t="str">
        <f t="shared" si="6"/>
        <v>Pre-High</v>
      </c>
      <c r="J90" s="1" t="str">
        <f t="shared" si="7"/>
        <v>Normal</v>
      </c>
      <c r="K90" s="1" t="str">
        <f t="shared" si="8"/>
        <v>Low</v>
      </c>
      <c r="L90" s="1" t="str">
        <f t="shared" si="9"/>
        <v>Normal</v>
      </c>
    </row>
    <row r="91" spans="1:12" x14ac:dyDescent="0.25">
      <c r="A91">
        <v>23</v>
      </c>
      <c r="B91">
        <v>100</v>
      </c>
      <c r="C91">
        <v>85</v>
      </c>
      <c r="D91">
        <v>6.9</v>
      </c>
      <c r="E91">
        <v>98</v>
      </c>
      <c r="F91">
        <v>66</v>
      </c>
      <c r="G91" t="s">
        <v>9</v>
      </c>
      <c r="H91" s="1" t="str">
        <f t="shared" si="5"/>
        <v>20-30</v>
      </c>
      <c r="I91" s="1" t="str">
        <f t="shared" si="6"/>
        <v>Pre-High</v>
      </c>
      <c r="J91" s="1" t="str">
        <f t="shared" si="7"/>
        <v>Normal</v>
      </c>
      <c r="K91" s="1" t="str">
        <f t="shared" si="8"/>
        <v>Low</v>
      </c>
      <c r="L91" s="1" t="str">
        <f t="shared" si="9"/>
        <v>Normal</v>
      </c>
    </row>
    <row r="92" spans="1:12" x14ac:dyDescent="0.25">
      <c r="A92">
        <v>22</v>
      </c>
      <c r="B92">
        <v>120</v>
      </c>
      <c r="C92">
        <v>90</v>
      </c>
      <c r="D92">
        <v>7.8</v>
      </c>
      <c r="E92">
        <v>98</v>
      </c>
      <c r="F92">
        <v>82</v>
      </c>
      <c r="G92" t="s">
        <v>9</v>
      </c>
      <c r="H92" s="1" t="str">
        <f t="shared" si="5"/>
        <v>20-30</v>
      </c>
      <c r="I92" s="1" t="str">
        <f t="shared" si="6"/>
        <v>High</v>
      </c>
      <c r="J92" s="1" t="str">
        <f t="shared" si="7"/>
        <v>Normal</v>
      </c>
      <c r="K92" s="1" t="str">
        <f t="shared" si="8"/>
        <v>Normal</v>
      </c>
      <c r="L92" s="1" t="str">
        <f t="shared" si="9"/>
        <v>Normal</v>
      </c>
    </row>
    <row r="93" spans="1:12" x14ac:dyDescent="0.25">
      <c r="A93">
        <v>60</v>
      </c>
      <c r="B93">
        <v>120</v>
      </c>
      <c r="C93">
        <v>85</v>
      </c>
      <c r="D93">
        <v>15</v>
      </c>
      <c r="E93">
        <v>98</v>
      </c>
      <c r="F93">
        <v>60</v>
      </c>
      <c r="G93" t="s">
        <v>9</v>
      </c>
      <c r="H93" s="1" t="str">
        <f t="shared" si="5"/>
        <v>50+</v>
      </c>
      <c r="I93" s="1" t="str">
        <f t="shared" si="6"/>
        <v>Pre-High</v>
      </c>
      <c r="J93" s="1" t="str">
        <f t="shared" si="7"/>
        <v>High</v>
      </c>
      <c r="K93" s="1" t="str">
        <f t="shared" si="8"/>
        <v>Low</v>
      </c>
      <c r="L93" s="1" t="str">
        <f t="shared" si="9"/>
        <v>Normal</v>
      </c>
    </row>
    <row r="94" spans="1:12" x14ac:dyDescent="0.25">
      <c r="A94">
        <v>13</v>
      </c>
      <c r="B94">
        <v>90</v>
      </c>
      <c r="C94">
        <v>65</v>
      </c>
      <c r="D94">
        <v>7.8</v>
      </c>
      <c r="E94">
        <v>101</v>
      </c>
      <c r="F94">
        <v>80</v>
      </c>
      <c r="G94" t="s">
        <v>9</v>
      </c>
      <c r="H94" s="1" t="str">
        <f t="shared" si="5"/>
        <v>10-20</v>
      </c>
      <c r="I94" s="1" t="str">
        <f t="shared" si="6"/>
        <v>Normal</v>
      </c>
      <c r="J94" s="1" t="str">
        <f t="shared" si="7"/>
        <v>Normal</v>
      </c>
      <c r="K94" s="1" t="str">
        <f t="shared" si="8"/>
        <v>Normal</v>
      </c>
      <c r="L94" s="1" t="str">
        <f t="shared" si="9"/>
        <v>High</v>
      </c>
    </row>
    <row r="95" spans="1:12" x14ac:dyDescent="0.25">
      <c r="A95">
        <v>23</v>
      </c>
      <c r="B95">
        <v>120</v>
      </c>
      <c r="C95">
        <v>90</v>
      </c>
      <c r="D95">
        <v>7.8</v>
      </c>
      <c r="E95">
        <v>98</v>
      </c>
      <c r="F95">
        <v>60</v>
      </c>
      <c r="G95" t="s">
        <v>9</v>
      </c>
      <c r="H95" s="1" t="str">
        <f t="shared" si="5"/>
        <v>20-30</v>
      </c>
      <c r="I95" s="1" t="str">
        <f t="shared" si="6"/>
        <v>High</v>
      </c>
      <c r="J95" s="1" t="str">
        <f t="shared" si="7"/>
        <v>Normal</v>
      </c>
      <c r="K95" s="1" t="str">
        <f t="shared" si="8"/>
        <v>Low</v>
      </c>
      <c r="L95" s="1" t="str">
        <f t="shared" si="9"/>
        <v>Normal</v>
      </c>
    </row>
    <row r="96" spans="1:12" x14ac:dyDescent="0.25">
      <c r="A96">
        <v>28</v>
      </c>
      <c r="B96">
        <v>115</v>
      </c>
      <c r="C96">
        <v>60</v>
      </c>
      <c r="D96">
        <v>7.8</v>
      </c>
      <c r="E96">
        <v>101</v>
      </c>
      <c r="F96">
        <v>86</v>
      </c>
      <c r="G96" t="s">
        <v>9</v>
      </c>
      <c r="H96" s="1" t="str">
        <f t="shared" si="5"/>
        <v>20-30</v>
      </c>
      <c r="I96" s="1" t="str">
        <f t="shared" si="6"/>
        <v>Normal</v>
      </c>
      <c r="J96" s="1" t="str">
        <f t="shared" si="7"/>
        <v>Normal</v>
      </c>
      <c r="K96" s="1" t="str">
        <f t="shared" si="8"/>
        <v>High</v>
      </c>
      <c r="L96" s="1" t="str">
        <f t="shared" si="9"/>
        <v>High</v>
      </c>
    </row>
    <row r="97" spans="1:12" x14ac:dyDescent="0.25">
      <c r="A97">
        <v>50</v>
      </c>
      <c r="B97">
        <v>120</v>
      </c>
      <c r="C97">
        <v>80</v>
      </c>
      <c r="D97">
        <v>7.8</v>
      </c>
      <c r="E97">
        <v>98</v>
      </c>
      <c r="F97">
        <v>70</v>
      </c>
      <c r="G97" t="s">
        <v>9</v>
      </c>
      <c r="H97" s="1" t="str">
        <f t="shared" si="5"/>
        <v>40-50</v>
      </c>
      <c r="I97" s="1" t="str">
        <f t="shared" si="6"/>
        <v>Pre-High</v>
      </c>
      <c r="J97" s="1" t="str">
        <f t="shared" si="7"/>
        <v>Normal</v>
      </c>
      <c r="K97" s="1" t="str">
        <f t="shared" si="8"/>
        <v>Normal</v>
      </c>
      <c r="L97" s="1" t="str">
        <f t="shared" si="9"/>
        <v>Normal</v>
      </c>
    </row>
    <row r="98" spans="1:12" x14ac:dyDescent="0.25">
      <c r="A98">
        <v>29</v>
      </c>
      <c r="B98">
        <v>130</v>
      </c>
      <c r="C98">
        <v>70</v>
      </c>
      <c r="D98">
        <v>7.8</v>
      </c>
      <c r="E98">
        <v>98</v>
      </c>
      <c r="F98">
        <v>78</v>
      </c>
      <c r="G98" t="s">
        <v>9</v>
      </c>
      <c r="H98" s="1" t="str">
        <f t="shared" si="5"/>
        <v>20-30</v>
      </c>
      <c r="I98" s="1" t="str">
        <f t="shared" si="6"/>
        <v>Pre-High</v>
      </c>
      <c r="J98" s="1" t="str">
        <f t="shared" si="7"/>
        <v>Normal</v>
      </c>
      <c r="K98" s="1" t="str">
        <f t="shared" si="8"/>
        <v>Normal</v>
      </c>
      <c r="L98" s="1" t="str">
        <f t="shared" si="9"/>
        <v>Normal</v>
      </c>
    </row>
    <row r="99" spans="1:12" x14ac:dyDescent="0.25">
      <c r="A99">
        <v>19</v>
      </c>
      <c r="B99">
        <v>120</v>
      </c>
      <c r="C99">
        <v>80</v>
      </c>
      <c r="D99">
        <v>7</v>
      </c>
      <c r="E99">
        <v>98</v>
      </c>
      <c r="F99">
        <v>70</v>
      </c>
      <c r="G99" t="s">
        <v>9</v>
      </c>
      <c r="H99" s="1" t="str">
        <f t="shared" si="5"/>
        <v>10-20</v>
      </c>
      <c r="I99" s="1" t="str">
        <f t="shared" si="6"/>
        <v>Pre-High</v>
      </c>
      <c r="J99" s="1" t="str">
        <f t="shared" si="7"/>
        <v>Normal</v>
      </c>
      <c r="K99" s="1" t="str">
        <f t="shared" si="8"/>
        <v>Normal</v>
      </c>
      <c r="L99" s="1" t="str">
        <f t="shared" si="9"/>
        <v>Normal</v>
      </c>
    </row>
    <row r="100" spans="1:12" x14ac:dyDescent="0.25">
      <c r="A100">
        <v>19</v>
      </c>
      <c r="B100">
        <v>120</v>
      </c>
      <c r="C100">
        <v>85</v>
      </c>
      <c r="D100">
        <v>7.8</v>
      </c>
      <c r="E100">
        <v>98</v>
      </c>
      <c r="F100">
        <v>60</v>
      </c>
      <c r="G100" t="s">
        <v>9</v>
      </c>
      <c r="H100" s="1" t="str">
        <f t="shared" si="5"/>
        <v>10-20</v>
      </c>
      <c r="I100" s="1" t="str">
        <f t="shared" si="6"/>
        <v>Pre-High</v>
      </c>
      <c r="J100" s="1" t="str">
        <f t="shared" si="7"/>
        <v>Normal</v>
      </c>
      <c r="K100" s="1" t="str">
        <f t="shared" si="8"/>
        <v>Low</v>
      </c>
      <c r="L100" s="1" t="str">
        <f t="shared" si="9"/>
        <v>Normal</v>
      </c>
    </row>
    <row r="101" spans="1:12" x14ac:dyDescent="0.25">
      <c r="A101">
        <v>60</v>
      </c>
      <c r="B101">
        <v>90</v>
      </c>
      <c r="C101">
        <v>65</v>
      </c>
      <c r="D101">
        <v>6.8</v>
      </c>
      <c r="E101">
        <v>98</v>
      </c>
      <c r="F101">
        <v>77</v>
      </c>
      <c r="G101" t="s">
        <v>9</v>
      </c>
      <c r="H101" s="1" t="str">
        <f t="shared" si="5"/>
        <v>50+</v>
      </c>
      <c r="I101" s="1" t="str">
        <f t="shared" si="6"/>
        <v>Normal</v>
      </c>
      <c r="J101" s="1" t="str">
        <f t="shared" si="7"/>
        <v>Normal</v>
      </c>
      <c r="K101" s="1" t="str">
        <f t="shared" si="8"/>
        <v>Normal</v>
      </c>
      <c r="L101" s="1" t="str">
        <f t="shared" si="9"/>
        <v>Normal</v>
      </c>
    </row>
    <row r="102" spans="1:12" x14ac:dyDescent="0.25">
      <c r="A102">
        <v>55</v>
      </c>
      <c r="B102">
        <v>120</v>
      </c>
      <c r="C102">
        <v>90</v>
      </c>
      <c r="D102">
        <v>6.8</v>
      </c>
      <c r="E102">
        <v>98</v>
      </c>
      <c r="F102">
        <v>66</v>
      </c>
      <c r="G102" t="s">
        <v>9</v>
      </c>
      <c r="H102" s="1" t="str">
        <f t="shared" si="5"/>
        <v>50+</v>
      </c>
      <c r="I102" s="1" t="str">
        <f t="shared" si="6"/>
        <v>High</v>
      </c>
      <c r="J102" s="1" t="str">
        <f t="shared" si="7"/>
        <v>Normal</v>
      </c>
      <c r="K102" s="1" t="str">
        <f t="shared" si="8"/>
        <v>Low</v>
      </c>
      <c r="L102" s="1" t="str">
        <f t="shared" si="9"/>
        <v>Normal</v>
      </c>
    </row>
    <row r="103" spans="1:12" x14ac:dyDescent="0.25">
      <c r="A103">
        <v>25</v>
      </c>
      <c r="B103">
        <v>120</v>
      </c>
      <c r="C103">
        <v>80</v>
      </c>
      <c r="D103">
        <v>6.8</v>
      </c>
      <c r="E103">
        <v>98</v>
      </c>
      <c r="F103">
        <v>66</v>
      </c>
      <c r="G103" t="s">
        <v>9</v>
      </c>
      <c r="H103" s="1" t="str">
        <f t="shared" si="5"/>
        <v>20-30</v>
      </c>
      <c r="I103" s="1" t="str">
        <f t="shared" si="6"/>
        <v>Pre-High</v>
      </c>
      <c r="J103" s="1" t="str">
        <f t="shared" si="7"/>
        <v>Normal</v>
      </c>
      <c r="K103" s="1" t="str">
        <f t="shared" si="8"/>
        <v>Low</v>
      </c>
      <c r="L103" s="1" t="str">
        <f t="shared" si="9"/>
        <v>Normal</v>
      </c>
    </row>
    <row r="104" spans="1:12" x14ac:dyDescent="0.25">
      <c r="A104">
        <v>48</v>
      </c>
      <c r="B104">
        <v>140</v>
      </c>
      <c r="C104">
        <v>90</v>
      </c>
      <c r="D104">
        <v>15</v>
      </c>
      <c r="E104">
        <v>98</v>
      </c>
      <c r="F104">
        <v>90</v>
      </c>
      <c r="G104" t="s">
        <v>7</v>
      </c>
      <c r="H104" s="1" t="str">
        <f t="shared" si="5"/>
        <v>40-50</v>
      </c>
      <c r="I104" s="1" t="str">
        <f t="shared" si="6"/>
        <v>High</v>
      </c>
      <c r="J104" s="1" t="str">
        <f t="shared" si="7"/>
        <v>High</v>
      </c>
      <c r="K104" s="1" t="str">
        <f t="shared" si="8"/>
        <v>High</v>
      </c>
      <c r="L104" s="1" t="str">
        <f t="shared" si="9"/>
        <v>Normal</v>
      </c>
    </row>
    <row r="105" spans="1:12" x14ac:dyDescent="0.25">
      <c r="A105">
        <v>25</v>
      </c>
      <c r="B105">
        <v>140</v>
      </c>
      <c r="C105">
        <v>100</v>
      </c>
      <c r="D105">
        <v>6.8</v>
      </c>
      <c r="E105">
        <v>98</v>
      </c>
      <c r="F105">
        <v>80</v>
      </c>
      <c r="G105" t="s">
        <v>7</v>
      </c>
      <c r="H105" s="1" t="str">
        <f t="shared" si="5"/>
        <v>20-30</v>
      </c>
      <c r="I105" s="1" t="str">
        <f t="shared" si="6"/>
        <v>Critical</v>
      </c>
      <c r="J105" s="1" t="str">
        <f t="shared" si="7"/>
        <v>Normal</v>
      </c>
      <c r="K105" s="1" t="str">
        <f t="shared" si="8"/>
        <v>Normal</v>
      </c>
      <c r="L105" s="1" t="str">
        <f t="shared" si="9"/>
        <v>Normal</v>
      </c>
    </row>
    <row r="106" spans="1:12" x14ac:dyDescent="0.25">
      <c r="A106">
        <v>23</v>
      </c>
      <c r="B106">
        <v>140</v>
      </c>
      <c r="C106">
        <v>90</v>
      </c>
      <c r="D106">
        <v>6.8</v>
      </c>
      <c r="E106">
        <v>98</v>
      </c>
      <c r="F106">
        <v>70</v>
      </c>
      <c r="G106" t="s">
        <v>7</v>
      </c>
      <c r="H106" s="1" t="str">
        <f t="shared" si="5"/>
        <v>20-30</v>
      </c>
      <c r="I106" s="1" t="str">
        <f t="shared" si="6"/>
        <v>High</v>
      </c>
      <c r="J106" s="1" t="str">
        <f t="shared" si="7"/>
        <v>Normal</v>
      </c>
      <c r="K106" s="1" t="str">
        <f t="shared" si="8"/>
        <v>Normal</v>
      </c>
      <c r="L106" s="1" t="str">
        <f t="shared" si="9"/>
        <v>Normal</v>
      </c>
    </row>
    <row r="107" spans="1:12" x14ac:dyDescent="0.25">
      <c r="A107">
        <v>34</v>
      </c>
      <c r="B107">
        <v>85</v>
      </c>
      <c r="C107">
        <v>60</v>
      </c>
      <c r="D107">
        <v>11</v>
      </c>
      <c r="E107">
        <v>102</v>
      </c>
      <c r="F107">
        <v>86</v>
      </c>
      <c r="G107" t="s">
        <v>7</v>
      </c>
      <c r="H107" s="1" t="str">
        <f t="shared" si="5"/>
        <v>30-40</v>
      </c>
      <c r="I107" s="1" t="str">
        <f t="shared" si="6"/>
        <v>Normal</v>
      </c>
      <c r="J107" s="1" t="str">
        <f t="shared" si="7"/>
        <v>Slightly High</v>
      </c>
      <c r="K107" s="1" t="str">
        <f t="shared" si="8"/>
        <v>High</v>
      </c>
      <c r="L107" s="1" t="str">
        <f t="shared" si="9"/>
        <v>High</v>
      </c>
    </row>
    <row r="108" spans="1:12" x14ac:dyDescent="0.25">
      <c r="A108">
        <v>50</v>
      </c>
      <c r="B108">
        <v>140</v>
      </c>
      <c r="C108">
        <v>90</v>
      </c>
      <c r="D108">
        <v>15</v>
      </c>
      <c r="E108">
        <v>98</v>
      </c>
      <c r="F108">
        <v>90</v>
      </c>
      <c r="G108" t="s">
        <v>7</v>
      </c>
      <c r="H108" s="1" t="str">
        <f t="shared" si="5"/>
        <v>40-50</v>
      </c>
      <c r="I108" s="1" t="str">
        <f t="shared" si="6"/>
        <v>High</v>
      </c>
      <c r="J108" s="1" t="str">
        <f t="shared" si="7"/>
        <v>High</v>
      </c>
      <c r="K108" s="1" t="str">
        <f t="shared" si="8"/>
        <v>High</v>
      </c>
      <c r="L108" s="1" t="str">
        <f t="shared" si="9"/>
        <v>Normal</v>
      </c>
    </row>
    <row r="109" spans="1:12" x14ac:dyDescent="0.25">
      <c r="A109">
        <v>25</v>
      </c>
      <c r="B109">
        <v>140</v>
      </c>
      <c r="C109">
        <v>100</v>
      </c>
      <c r="D109">
        <v>6.8</v>
      </c>
      <c r="E109">
        <v>98</v>
      </c>
      <c r="F109">
        <v>80</v>
      </c>
      <c r="G109" t="s">
        <v>7</v>
      </c>
      <c r="H109" s="1" t="str">
        <f t="shared" si="5"/>
        <v>20-30</v>
      </c>
      <c r="I109" s="1" t="str">
        <f t="shared" si="6"/>
        <v>Critical</v>
      </c>
      <c r="J109" s="1" t="str">
        <f t="shared" si="7"/>
        <v>Normal</v>
      </c>
      <c r="K109" s="1" t="str">
        <f t="shared" si="8"/>
        <v>Normal</v>
      </c>
      <c r="L109" s="1" t="str">
        <f t="shared" si="9"/>
        <v>Normal</v>
      </c>
    </row>
    <row r="110" spans="1:12" x14ac:dyDescent="0.25">
      <c r="A110">
        <v>42</v>
      </c>
      <c r="B110">
        <v>140</v>
      </c>
      <c r="C110">
        <v>100</v>
      </c>
      <c r="D110">
        <v>18</v>
      </c>
      <c r="E110">
        <v>98</v>
      </c>
      <c r="F110">
        <v>90</v>
      </c>
      <c r="G110" t="s">
        <v>7</v>
      </c>
      <c r="H110" s="1" t="str">
        <f t="shared" si="5"/>
        <v>40-50</v>
      </c>
      <c r="I110" s="1" t="str">
        <f t="shared" si="6"/>
        <v>Critical</v>
      </c>
      <c r="J110" s="1" t="str">
        <f t="shared" si="7"/>
        <v>High</v>
      </c>
      <c r="K110" s="1" t="str">
        <f t="shared" si="8"/>
        <v>High</v>
      </c>
      <c r="L110" s="1" t="str">
        <f t="shared" si="9"/>
        <v>Normal</v>
      </c>
    </row>
    <row r="111" spans="1:12" x14ac:dyDescent="0.25">
      <c r="A111">
        <v>32</v>
      </c>
      <c r="B111">
        <v>140</v>
      </c>
      <c r="C111">
        <v>100</v>
      </c>
      <c r="D111">
        <v>7.9</v>
      </c>
      <c r="E111">
        <v>98</v>
      </c>
      <c r="F111">
        <v>78</v>
      </c>
      <c r="G111" t="s">
        <v>7</v>
      </c>
      <c r="H111" s="1" t="str">
        <f t="shared" si="5"/>
        <v>30-40</v>
      </c>
      <c r="I111" s="1" t="str">
        <f t="shared" si="6"/>
        <v>Critical</v>
      </c>
      <c r="J111" s="1" t="str">
        <f t="shared" si="7"/>
        <v>Normal</v>
      </c>
      <c r="K111" s="1" t="str">
        <f t="shared" si="8"/>
        <v>Normal</v>
      </c>
      <c r="L111" s="1" t="str">
        <f t="shared" si="9"/>
        <v>Normal</v>
      </c>
    </row>
    <row r="112" spans="1:12" x14ac:dyDescent="0.25">
      <c r="A112">
        <v>50</v>
      </c>
      <c r="B112">
        <v>140</v>
      </c>
      <c r="C112">
        <v>95</v>
      </c>
      <c r="D112">
        <v>17</v>
      </c>
      <c r="E112">
        <v>98</v>
      </c>
      <c r="F112">
        <v>60</v>
      </c>
      <c r="G112" t="s">
        <v>7</v>
      </c>
      <c r="H112" s="1" t="str">
        <f t="shared" si="5"/>
        <v>40-50</v>
      </c>
      <c r="I112" s="1" t="str">
        <f t="shared" si="6"/>
        <v>High</v>
      </c>
      <c r="J112" s="1" t="str">
        <f t="shared" si="7"/>
        <v>High</v>
      </c>
      <c r="K112" s="1" t="str">
        <f t="shared" si="8"/>
        <v>Low</v>
      </c>
      <c r="L112" s="1" t="str">
        <f t="shared" si="9"/>
        <v>Normal</v>
      </c>
    </row>
    <row r="113" spans="1:12" x14ac:dyDescent="0.25">
      <c r="A113">
        <v>38</v>
      </c>
      <c r="B113">
        <v>135</v>
      </c>
      <c r="C113">
        <v>60</v>
      </c>
      <c r="D113">
        <v>7.9</v>
      </c>
      <c r="E113">
        <v>101</v>
      </c>
      <c r="F113">
        <v>86</v>
      </c>
      <c r="G113" t="s">
        <v>7</v>
      </c>
      <c r="H113" s="1" t="str">
        <f t="shared" si="5"/>
        <v>30-40</v>
      </c>
      <c r="I113" s="1" t="str">
        <f t="shared" si="6"/>
        <v>Pre-High</v>
      </c>
      <c r="J113" s="1" t="str">
        <f t="shared" si="7"/>
        <v>Normal</v>
      </c>
      <c r="K113" s="1" t="str">
        <f t="shared" si="8"/>
        <v>High</v>
      </c>
      <c r="L113" s="1" t="str">
        <f t="shared" si="9"/>
        <v>High</v>
      </c>
    </row>
    <row r="114" spans="1:12" x14ac:dyDescent="0.25">
      <c r="A114">
        <v>39</v>
      </c>
      <c r="B114">
        <v>90</v>
      </c>
      <c r="C114">
        <v>70</v>
      </c>
      <c r="D114">
        <v>9</v>
      </c>
      <c r="E114">
        <v>98</v>
      </c>
      <c r="F114">
        <v>80</v>
      </c>
      <c r="G114" t="s">
        <v>7</v>
      </c>
      <c r="H114" s="1" t="str">
        <f t="shared" si="5"/>
        <v>30-40</v>
      </c>
      <c r="I114" s="1" t="str">
        <f t="shared" si="6"/>
        <v>Normal</v>
      </c>
      <c r="J114" s="1" t="str">
        <f t="shared" si="7"/>
        <v>Slightly High</v>
      </c>
      <c r="K114" s="1" t="str">
        <f t="shared" si="8"/>
        <v>Normal</v>
      </c>
      <c r="L114" s="1" t="str">
        <f t="shared" si="9"/>
        <v>Normal</v>
      </c>
    </row>
    <row r="115" spans="1:12" x14ac:dyDescent="0.25">
      <c r="A115">
        <v>30</v>
      </c>
      <c r="B115">
        <v>140</v>
      </c>
      <c r="C115">
        <v>100</v>
      </c>
      <c r="D115">
        <v>15</v>
      </c>
      <c r="E115">
        <v>98</v>
      </c>
      <c r="F115">
        <v>70</v>
      </c>
      <c r="G115" t="s">
        <v>7</v>
      </c>
      <c r="H115" s="1" t="str">
        <f t="shared" si="5"/>
        <v>20-30</v>
      </c>
      <c r="I115" s="1" t="str">
        <f t="shared" si="6"/>
        <v>Critical</v>
      </c>
      <c r="J115" s="1" t="str">
        <f t="shared" si="7"/>
        <v>High</v>
      </c>
      <c r="K115" s="1" t="str">
        <f t="shared" si="8"/>
        <v>Normal</v>
      </c>
      <c r="L115" s="1" t="str">
        <f t="shared" si="9"/>
        <v>Normal</v>
      </c>
    </row>
    <row r="116" spans="1:12" x14ac:dyDescent="0.25">
      <c r="A116">
        <v>63</v>
      </c>
      <c r="B116">
        <v>140</v>
      </c>
      <c r="C116">
        <v>90</v>
      </c>
      <c r="D116">
        <v>15</v>
      </c>
      <c r="E116">
        <v>98</v>
      </c>
      <c r="F116">
        <v>90</v>
      </c>
      <c r="G116" t="s">
        <v>7</v>
      </c>
      <c r="H116" s="1" t="str">
        <f t="shared" si="5"/>
        <v>50+</v>
      </c>
      <c r="I116" s="1" t="str">
        <f t="shared" si="6"/>
        <v>High</v>
      </c>
      <c r="J116" s="1" t="str">
        <f t="shared" si="7"/>
        <v>High</v>
      </c>
      <c r="K116" s="1" t="str">
        <f t="shared" si="8"/>
        <v>High</v>
      </c>
      <c r="L116" s="1" t="str">
        <f t="shared" si="9"/>
        <v>Normal</v>
      </c>
    </row>
    <row r="117" spans="1:12" x14ac:dyDescent="0.25">
      <c r="A117">
        <v>25</v>
      </c>
      <c r="B117">
        <v>140</v>
      </c>
      <c r="C117">
        <v>100</v>
      </c>
      <c r="D117">
        <v>7.9</v>
      </c>
      <c r="E117">
        <v>98</v>
      </c>
      <c r="F117">
        <v>80</v>
      </c>
      <c r="G117" t="s">
        <v>7</v>
      </c>
      <c r="H117" s="1" t="str">
        <f t="shared" si="5"/>
        <v>20-30</v>
      </c>
      <c r="I117" s="1" t="str">
        <f t="shared" si="6"/>
        <v>Critical</v>
      </c>
      <c r="J117" s="1" t="str">
        <f t="shared" si="7"/>
        <v>Normal</v>
      </c>
      <c r="K117" s="1" t="str">
        <f t="shared" si="8"/>
        <v>Normal</v>
      </c>
      <c r="L117" s="1" t="str">
        <f t="shared" si="9"/>
        <v>Normal</v>
      </c>
    </row>
    <row r="118" spans="1:12" x14ac:dyDescent="0.25">
      <c r="A118">
        <v>30</v>
      </c>
      <c r="B118">
        <v>120</v>
      </c>
      <c r="C118">
        <v>80</v>
      </c>
      <c r="D118">
        <v>7.9</v>
      </c>
      <c r="E118">
        <v>101</v>
      </c>
      <c r="F118">
        <v>76</v>
      </c>
      <c r="G118" t="s">
        <v>7</v>
      </c>
      <c r="H118" s="1" t="str">
        <f t="shared" si="5"/>
        <v>20-30</v>
      </c>
      <c r="I118" s="1" t="str">
        <f t="shared" si="6"/>
        <v>Pre-High</v>
      </c>
      <c r="J118" s="1" t="str">
        <f t="shared" si="7"/>
        <v>Normal</v>
      </c>
      <c r="K118" s="1" t="str">
        <f t="shared" si="8"/>
        <v>Normal</v>
      </c>
      <c r="L118" s="1" t="str">
        <f t="shared" si="9"/>
        <v>High</v>
      </c>
    </row>
    <row r="119" spans="1:12" x14ac:dyDescent="0.25">
      <c r="A119">
        <v>55</v>
      </c>
      <c r="B119">
        <v>140</v>
      </c>
      <c r="C119">
        <v>100</v>
      </c>
      <c r="D119">
        <v>18</v>
      </c>
      <c r="E119">
        <v>98</v>
      </c>
      <c r="F119">
        <v>90</v>
      </c>
      <c r="G119" t="s">
        <v>7</v>
      </c>
      <c r="H119" s="1" t="str">
        <f t="shared" si="5"/>
        <v>50+</v>
      </c>
      <c r="I119" s="1" t="str">
        <f t="shared" si="6"/>
        <v>Critical</v>
      </c>
      <c r="J119" s="1" t="str">
        <f t="shared" si="7"/>
        <v>High</v>
      </c>
      <c r="K119" s="1" t="str">
        <f t="shared" si="8"/>
        <v>High</v>
      </c>
      <c r="L119" s="1" t="str">
        <f t="shared" si="9"/>
        <v>Normal</v>
      </c>
    </row>
    <row r="120" spans="1:12" x14ac:dyDescent="0.25">
      <c r="A120">
        <v>32</v>
      </c>
      <c r="B120">
        <v>140</v>
      </c>
      <c r="C120">
        <v>100</v>
      </c>
      <c r="D120">
        <v>7.9</v>
      </c>
      <c r="E120">
        <v>98</v>
      </c>
      <c r="F120">
        <v>78</v>
      </c>
      <c r="G120" t="s">
        <v>7</v>
      </c>
      <c r="H120" s="1" t="str">
        <f t="shared" si="5"/>
        <v>30-40</v>
      </c>
      <c r="I120" s="1" t="str">
        <f t="shared" si="6"/>
        <v>Critical</v>
      </c>
      <c r="J120" s="1" t="str">
        <f t="shared" si="7"/>
        <v>Normal</v>
      </c>
      <c r="K120" s="1" t="str">
        <f t="shared" si="8"/>
        <v>Normal</v>
      </c>
      <c r="L120" s="1" t="str">
        <f t="shared" si="9"/>
        <v>Normal</v>
      </c>
    </row>
    <row r="121" spans="1:12" x14ac:dyDescent="0.25">
      <c r="A121">
        <v>30</v>
      </c>
      <c r="B121">
        <v>140</v>
      </c>
      <c r="C121">
        <v>100</v>
      </c>
      <c r="D121">
        <v>15</v>
      </c>
      <c r="E121">
        <v>98</v>
      </c>
      <c r="F121">
        <v>70</v>
      </c>
      <c r="G121" t="s">
        <v>7</v>
      </c>
      <c r="H121" s="1" t="str">
        <f t="shared" si="5"/>
        <v>20-30</v>
      </c>
      <c r="I121" s="1" t="str">
        <f t="shared" si="6"/>
        <v>Critical</v>
      </c>
      <c r="J121" s="1" t="str">
        <f t="shared" si="7"/>
        <v>High</v>
      </c>
      <c r="K121" s="1" t="str">
        <f t="shared" si="8"/>
        <v>Normal</v>
      </c>
      <c r="L121" s="1" t="str">
        <f t="shared" si="9"/>
        <v>Normal</v>
      </c>
    </row>
    <row r="122" spans="1:12" x14ac:dyDescent="0.25">
      <c r="A122">
        <v>48</v>
      </c>
      <c r="B122">
        <v>120</v>
      </c>
      <c r="C122">
        <v>80</v>
      </c>
      <c r="D122">
        <v>11</v>
      </c>
      <c r="E122">
        <v>98</v>
      </c>
      <c r="F122">
        <v>88</v>
      </c>
      <c r="G122" t="s">
        <v>7</v>
      </c>
      <c r="H122" s="1" t="str">
        <f t="shared" si="5"/>
        <v>40-50</v>
      </c>
      <c r="I122" s="1" t="str">
        <f t="shared" si="6"/>
        <v>Pre-High</v>
      </c>
      <c r="J122" s="1" t="str">
        <f t="shared" si="7"/>
        <v>Slightly High</v>
      </c>
      <c r="K122" s="1" t="str">
        <f t="shared" si="8"/>
        <v>High</v>
      </c>
      <c r="L122" s="1" t="str">
        <f t="shared" si="9"/>
        <v>Normal</v>
      </c>
    </row>
    <row r="123" spans="1:12" x14ac:dyDescent="0.25">
      <c r="A123">
        <v>49</v>
      </c>
      <c r="B123">
        <v>140</v>
      </c>
      <c r="C123">
        <v>90</v>
      </c>
      <c r="D123">
        <v>15</v>
      </c>
      <c r="E123">
        <v>98</v>
      </c>
      <c r="F123">
        <v>90</v>
      </c>
      <c r="G123" t="s">
        <v>7</v>
      </c>
      <c r="H123" s="1" t="str">
        <f t="shared" si="5"/>
        <v>40-50</v>
      </c>
      <c r="I123" s="1" t="str">
        <f t="shared" si="6"/>
        <v>High</v>
      </c>
      <c r="J123" s="1" t="str">
        <f t="shared" si="7"/>
        <v>High</v>
      </c>
      <c r="K123" s="1" t="str">
        <f t="shared" si="8"/>
        <v>High</v>
      </c>
      <c r="L123" s="1" t="str">
        <f t="shared" si="9"/>
        <v>Normal</v>
      </c>
    </row>
    <row r="124" spans="1:12" x14ac:dyDescent="0.25">
      <c r="A124">
        <v>25</v>
      </c>
      <c r="B124">
        <v>140</v>
      </c>
      <c r="C124">
        <v>100</v>
      </c>
      <c r="D124">
        <v>7.5</v>
      </c>
      <c r="E124">
        <v>98</v>
      </c>
      <c r="F124">
        <v>80</v>
      </c>
      <c r="G124" t="s">
        <v>7</v>
      </c>
      <c r="H124" s="1" t="str">
        <f t="shared" si="5"/>
        <v>20-30</v>
      </c>
      <c r="I124" s="1" t="str">
        <f t="shared" si="6"/>
        <v>Critical</v>
      </c>
      <c r="J124" s="1" t="str">
        <f t="shared" si="7"/>
        <v>Normal</v>
      </c>
      <c r="K124" s="1" t="str">
        <f t="shared" si="8"/>
        <v>Normal</v>
      </c>
      <c r="L124" s="1" t="str">
        <f t="shared" si="9"/>
        <v>Normal</v>
      </c>
    </row>
    <row r="125" spans="1:12" x14ac:dyDescent="0.25">
      <c r="A125">
        <v>40</v>
      </c>
      <c r="B125">
        <v>160</v>
      </c>
      <c r="C125">
        <v>100</v>
      </c>
      <c r="D125">
        <v>19</v>
      </c>
      <c r="E125">
        <v>98</v>
      </c>
      <c r="F125">
        <v>77</v>
      </c>
      <c r="G125" t="s">
        <v>7</v>
      </c>
      <c r="H125" s="1" t="str">
        <f t="shared" si="5"/>
        <v>30-40</v>
      </c>
      <c r="I125" s="1" t="str">
        <f t="shared" si="6"/>
        <v>Critical</v>
      </c>
      <c r="J125" s="1" t="str">
        <f t="shared" si="7"/>
        <v>High</v>
      </c>
      <c r="K125" s="1" t="str">
        <f t="shared" si="8"/>
        <v>Normal</v>
      </c>
      <c r="L125" s="1" t="str">
        <f t="shared" si="9"/>
        <v>Normal</v>
      </c>
    </row>
    <row r="126" spans="1:12" x14ac:dyDescent="0.25">
      <c r="A126">
        <v>32</v>
      </c>
      <c r="B126">
        <v>140</v>
      </c>
      <c r="C126">
        <v>90</v>
      </c>
      <c r="D126">
        <v>18</v>
      </c>
      <c r="E126">
        <v>98</v>
      </c>
      <c r="F126">
        <v>88</v>
      </c>
      <c r="G126" t="s">
        <v>7</v>
      </c>
      <c r="H126" s="1" t="str">
        <f t="shared" si="5"/>
        <v>30-40</v>
      </c>
      <c r="I126" s="1" t="str">
        <f t="shared" si="6"/>
        <v>High</v>
      </c>
      <c r="J126" s="1" t="str">
        <f t="shared" si="7"/>
        <v>High</v>
      </c>
      <c r="K126" s="1" t="str">
        <f t="shared" si="8"/>
        <v>High</v>
      </c>
      <c r="L126" s="1" t="str">
        <f t="shared" si="9"/>
        <v>Normal</v>
      </c>
    </row>
    <row r="127" spans="1:12" x14ac:dyDescent="0.25">
      <c r="A127">
        <v>35</v>
      </c>
      <c r="B127">
        <v>140</v>
      </c>
      <c r="C127">
        <v>100</v>
      </c>
      <c r="D127">
        <v>7.5</v>
      </c>
      <c r="E127">
        <v>98</v>
      </c>
      <c r="F127">
        <v>66</v>
      </c>
      <c r="G127" t="s">
        <v>7</v>
      </c>
      <c r="H127" s="1" t="str">
        <f t="shared" si="5"/>
        <v>30-40</v>
      </c>
      <c r="I127" s="1" t="str">
        <f t="shared" si="6"/>
        <v>Critical</v>
      </c>
      <c r="J127" s="1" t="str">
        <f t="shared" si="7"/>
        <v>Normal</v>
      </c>
      <c r="K127" s="1" t="str">
        <f t="shared" si="8"/>
        <v>Low</v>
      </c>
      <c r="L127" s="1" t="str">
        <f t="shared" si="9"/>
        <v>Normal</v>
      </c>
    </row>
    <row r="128" spans="1:12" x14ac:dyDescent="0.25">
      <c r="A128">
        <v>54</v>
      </c>
      <c r="B128">
        <v>140</v>
      </c>
      <c r="C128">
        <v>100</v>
      </c>
      <c r="D128">
        <v>15</v>
      </c>
      <c r="E128">
        <v>98</v>
      </c>
      <c r="F128">
        <v>66</v>
      </c>
      <c r="G128" t="s">
        <v>7</v>
      </c>
      <c r="H128" s="1" t="str">
        <f t="shared" si="5"/>
        <v>50+</v>
      </c>
      <c r="I128" s="1" t="str">
        <f t="shared" si="6"/>
        <v>Critical</v>
      </c>
      <c r="J128" s="1" t="str">
        <f t="shared" si="7"/>
        <v>High</v>
      </c>
      <c r="K128" s="1" t="str">
        <f t="shared" si="8"/>
        <v>Low</v>
      </c>
      <c r="L128" s="1" t="str">
        <f t="shared" si="9"/>
        <v>Normal</v>
      </c>
    </row>
    <row r="129" spans="1:12" x14ac:dyDescent="0.25">
      <c r="A129">
        <v>55</v>
      </c>
      <c r="B129">
        <v>140</v>
      </c>
      <c r="C129">
        <v>95</v>
      </c>
      <c r="D129">
        <v>19</v>
      </c>
      <c r="E129">
        <v>98</v>
      </c>
      <c r="F129">
        <v>77</v>
      </c>
      <c r="G129" t="s">
        <v>7</v>
      </c>
      <c r="H129" s="1" t="str">
        <f t="shared" si="5"/>
        <v>50+</v>
      </c>
      <c r="I129" s="1" t="str">
        <f t="shared" si="6"/>
        <v>High</v>
      </c>
      <c r="J129" s="1" t="str">
        <f t="shared" si="7"/>
        <v>High</v>
      </c>
      <c r="K129" s="1" t="str">
        <f t="shared" si="8"/>
        <v>Normal</v>
      </c>
      <c r="L129" s="1" t="str">
        <f t="shared" si="9"/>
        <v>Normal</v>
      </c>
    </row>
    <row r="130" spans="1:12" x14ac:dyDescent="0.25">
      <c r="A130">
        <v>29</v>
      </c>
      <c r="B130">
        <v>120</v>
      </c>
      <c r="C130">
        <v>70</v>
      </c>
      <c r="D130">
        <v>9</v>
      </c>
      <c r="E130">
        <v>98</v>
      </c>
      <c r="F130">
        <v>80</v>
      </c>
      <c r="G130" t="s">
        <v>7</v>
      </c>
      <c r="H130" s="1" t="str">
        <f t="shared" si="5"/>
        <v>20-30</v>
      </c>
      <c r="I130" s="1" t="str">
        <f t="shared" si="6"/>
        <v>Pre-High</v>
      </c>
      <c r="J130" s="1" t="str">
        <f t="shared" si="7"/>
        <v>Slightly High</v>
      </c>
      <c r="K130" s="1" t="str">
        <f t="shared" si="8"/>
        <v>Normal</v>
      </c>
      <c r="L130" s="1" t="str">
        <f t="shared" si="9"/>
        <v>Normal</v>
      </c>
    </row>
    <row r="131" spans="1:12" x14ac:dyDescent="0.25">
      <c r="A131">
        <v>48</v>
      </c>
      <c r="B131">
        <v>120</v>
      </c>
      <c r="C131">
        <v>80</v>
      </c>
      <c r="D131">
        <v>11</v>
      </c>
      <c r="E131">
        <v>98</v>
      </c>
      <c r="F131">
        <v>88</v>
      </c>
      <c r="G131" t="s">
        <v>7</v>
      </c>
      <c r="H131" s="1" t="str">
        <f t="shared" ref="H131:H194" si="10">IF(A131&lt;=20,"10-20",
 IF(A131&lt;=30,"20-30",
 IF(A131&lt;=40,"30-40",
 IF(A131&lt;=50,"40-50","50+"))))</f>
        <v>40-50</v>
      </c>
      <c r="I131" s="1" t="str">
        <f t="shared" ref="I131:I194" si="11">IF(AND(B131&lt;90,C131&lt;60),"Low BP",
 IF(AND(B131&lt;120,C131&lt;80),"Normal",
 IF(AND(B131&lt;140,C131&lt;90),"Pre-High",
 IF(AND(B131&lt;160,C131&lt;100),"High","Critical"))))</f>
        <v>Pre-High</v>
      </c>
      <c r="J131" s="1" t="str">
        <f t="shared" ref="J131:J194" si="12">IF(D131&lt;8,"Normal",
 IF(D131&lt;12,"Slightly High","High"))</f>
        <v>Slightly High</v>
      </c>
      <c r="K131" s="1" t="str">
        <f t="shared" ref="K131:K194" si="13">IF(F131&lt;70,"Low",
 IF(F131&lt;=85,"Normal","High"))</f>
        <v>High</v>
      </c>
      <c r="L131" s="1" t="str">
        <f t="shared" ref="L131:L194" si="14">IF(E131&lt;97.5,"Low",
 IF(E131&lt;=99,"Normal","High"))</f>
        <v>Normal</v>
      </c>
    </row>
    <row r="132" spans="1:12" x14ac:dyDescent="0.25">
      <c r="A132">
        <v>40</v>
      </c>
      <c r="B132">
        <v>160</v>
      </c>
      <c r="C132">
        <v>100</v>
      </c>
      <c r="D132">
        <v>19</v>
      </c>
      <c r="E132">
        <v>98</v>
      </c>
      <c r="F132">
        <v>77</v>
      </c>
      <c r="G132" t="s">
        <v>7</v>
      </c>
      <c r="H132" s="1" t="str">
        <f t="shared" si="10"/>
        <v>30-40</v>
      </c>
      <c r="I132" s="1" t="str">
        <f t="shared" si="11"/>
        <v>Critical</v>
      </c>
      <c r="J132" s="1" t="str">
        <f t="shared" si="12"/>
        <v>High</v>
      </c>
      <c r="K132" s="1" t="str">
        <f t="shared" si="13"/>
        <v>Normal</v>
      </c>
      <c r="L132" s="1" t="str">
        <f t="shared" si="14"/>
        <v>Normal</v>
      </c>
    </row>
    <row r="133" spans="1:12" x14ac:dyDescent="0.25">
      <c r="A133">
        <v>32</v>
      </c>
      <c r="B133">
        <v>140</v>
      </c>
      <c r="C133">
        <v>90</v>
      </c>
      <c r="D133">
        <v>18</v>
      </c>
      <c r="E133">
        <v>98</v>
      </c>
      <c r="F133">
        <v>88</v>
      </c>
      <c r="G133" t="s">
        <v>7</v>
      </c>
      <c r="H133" s="1" t="str">
        <f t="shared" si="10"/>
        <v>30-40</v>
      </c>
      <c r="I133" s="1" t="str">
        <f t="shared" si="11"/>
        <v>High</v>
      </c>
      <c r="J133" s="1" t="str">
        <f t="shared" si="12"/>
        <v>High</v>
      </c>
      <c r="K133" s="1" t="str">
        <f t="shared" si="13"/>
        <v>High</v>
      </c>
      <c r="L133" s="1" t="str">
        <f t="shared" si="14"/>
        <v>Normal</v>
      </c>
    </row>
    <row r="134" spans="1:12" x14ac:dyDescent="0.25">
      <c r="A134">
        <v>35</v>
      </c>
      <c r="B134">
        <v>140</v>
      </c>
      <c r="C134">
        <v>100</v>
      </c>
      <c r="D134">
        <v>7.5</v>
      </c>
      <c r="E134">
        <v>98</v>
      </c>
      <c r="F134">
        <v>66</v>
      </c>
      <c r="G134" t="s">
        <v>7</v>
      </c>
      <c r="H134" s="1" t="str">
        <f t="shared" si="10"/>
        <v>30-40</v>
      </c>
      <c r="I134" s="1" t="str">
        <f t="shared" si="11"/>
        <v>Critical</v>
      </c>
      <c r="J134" s="1" t="str">
        <f t="shared" si="12"/>
        <v>Normal</v>
      </c>
      <c r="K134" s="1" t="str">
        <f t="shared" si="13"/>
        <v>Low</v>
      </c>
      <c r="L134" s="1" t="str">
        <f t="shared" si="14"/>
        <v>Normal</v>
      </c>
    </row>
    <row r="135" spans="1:12" x14ac:dyDescent="0.25">
      <c r="A135">
        <v>54</v>
      </c>
      <c r="B135">
        <v>140</v>
      </c>
      <c r="C135">
        <v>100</v>
      </c>
      <c r="D135">
        <v>15</v>
      </c>
      <c r="E135">
        <v>98</v>
      </c>
      <c r="F135">
        <v>66</v>
      </c>
      <c r="G135" t="s">
        <v>7</v>
      </c>
      <c r="H135" s="1" t="str">
        <f t="shared" si="10"/>
        <v>50+</v>
      </c>
      <c r="I135" s="1" t="str">
        <f t="shared" si="11"/>
        <v>Critical</v>
      </c>
      <c r="J135" s="1" t="str">
        <f t="shared" si="12"/>
        <v>High</v>
      </c>
      <c r="K135" s="1" t="str">
        <f t="shared" si="13"/>
        <v>Low</v>
      </c>
      <c r="L135" s="1" t="str">
        <f t="shared" si="14"/>
        <v>Normal</v>
      </c>
    </row>
    <row r="136" spans="1:12" x14ac:dyDescent="0.25">
      <c r="A136">
        <v>40</v>
      </c>
      <c r="B136">
        <v>120</v>
      </c>
      <c r="C136">
        <v>95</v>
      </c>
      <c r="D136">
        <v>11</v>
      </c>
      <c r="E136">
        <v>98</v>
      </c>
      <c r="F136">
        <v>80</v>
      </c>
      <c r="G136" t="s">
        <v>7</v>
      </c>
      <c r="H136" s="1" t="str">
        <f t="shared" si="10"/>
        <v>30-40</v>
      </c>
      <c r="I136" s="1" t="str">
        <f t="shared" si="11"/>
        <v>High</v>
      </c>
      <c r="J136" s="1" t="str">
        <f t="shared" si="12"/>
        <v>Slightly High</v>
      </c>
      <c r="K136" s="1" t="str">
        <f t="shared" si="13"/>
        <v>Normal</v>
      </c>
      <c r="L136" s="1" t="str">
        <f t="shared" si="14"/>
        <v>Normal</v>
      </c>
    </row>
    <row r="137" spans="1:12" x14ac:dyDescent="0.25">
      <c r="A137">
        <v>22</v>
      </c>
      <c r="B137">
        <v>90</v>
      </c>
      <c r="C137">
        <v>60</v>
      </c>
      <c r="D137">
        <v>7.5</v>
      </c>
      <c r="E137">
        <v>102</v>
      </c>
      <c r="F137">
        <v>60</v>
      </c>
      <c r="G137" t="s">
        <v>7</v>
      </c>
      <c r="H137" s="1" t="str">
        <f t="shared" si="10"/>
        <v>20-30</v>
      </c>
      <c r="I137" s="1" t="str">
        <f t="shared" si="11"/>
        <v>Normal</v>
      </c>
      <c r="J137" s="1" t="str">
        <f t="shared" si="12"/>
        <v>Normal</v>
      </c>
      <c r="K137" s="1" t="str">
        <f t="shared" si="13"/>
        <v>Low</v>
      </c>
      <c r="L137" s="1" t="str">
        <f t="shared" si="14"/>
        <v>High</v>
      </c>
    </row>
    <row r="138" spans="1:12" x14ac:dyDescent="0.25">
      <c r="A138">
        <v>40</v>
      </c>
      <c r="B138">
        <v>120</v>
      </c>
      <c r="C138">
        <v>85</v>
      </c>
      <c r="D138">
        <v>15</v>
      </c>
      <c r="E138">
        <v>98</v>
      </c>
      <c r="F138">
        <v>60</v>
      </c>
      <c r="G138" t="s">
        <v>7</v>
      </c>
      <c r="H138" s="1" t="str">
        <f t="shared" si="10"/>
        <v>30-40</v>
      </c>
      <c r="I138" s="1" t="str">
        <f t="shared" si="11"/>
        <v>Pre-High</v>
      </c>
      <c r="J138" s="1" t="str">
        <f t="shared" si="12"/>
        <v>High</v>
      </c>
      <c r="K138" s="1" t="str">
        <f t="shared" si="13"/>
        <v>Low</v>
      </c>
      <c r="L138" s="1" t="str">
        <f t="shared" si="14"/>
        <v>Normal</v>
      </c>
    </row>
    <row r="139" spans="1:12" x14ac:dyDescent="0.25">
      <c r="A139">
        <v>55</v>
      </c>
      <c r="B139">
        <v>140</v>
      </c>
      <c r="C139">
        <v>95</v>
      </c>
      <c r="D139">
        <v>19</v>
      </c>
      <c r="E139">
        <v>98</v>
      </c>
      <c r="F139">
        <v>77</v>
      </c>
      <c r="G139" t="s">
        <v>7</v>
      </c>
      <c r="H139" s="1" t="str">
        <f t="shared" si="10"/>
        <v>50+</v>
      </c>
      <c r="I139" s="1" t="str">
        <f t="shared" si="11"/>
        <v>High</v>
      </c>
      <c r="J139" s="1" t="str">
        <f t="shared" si="12"/>
        <v>High</v>
      </c>
      <c r="K139" s="1" t="str">
        <f t="shared" si="13"/>
        <v>Normal</v>
      </c>
      <c r="L139" s="1" t="str">
        <f t="shared" si="14"/>
        <v>Normal</v>
      </c>
    </row>
    <row r="140" spans="1:12" x14ac:dyDescent="0.25">
      <c r="A140">
        <v>50</v>
      </c>
      <c r="B140">
        <v>130</v>
      </c>
      <c r="C140">
        <v>100</v>
      </c>
      <c r="D140">
        <v>16</v>
      </c>
      <c r="E140">
        <v>98</v>
      </c>
      <c r="F140">
        <v>75</v>
      </c>
      <c r="G140" t="s">
        <v>7</v>
      </c>
      <c r="H140" s="1" t="str">
        <f t="shared" si="10"/>
        <v>40-50</v>
      </c>
      <c r="I140" s="1" t="str">
        <f t="shared" si="11"/>
        <v>Critical</v>
      </c>
      <c r="J140" s="1" t="str">
        <f t="shared" si="12"/>
        <v>High</v>
      </c>
      <c r="K140" s="1" t="str">
        <f t="shared" si="13"/>
        <v>Normal</v>
      </c>
      <c r="L140" s="1" t="str">
        <f t="shared" si="14"/>
        <v>Normal</v>
      </c>
    </row>
    <row r="141" spans="1:12" x14ac:dyDescent="0.25">
      <c r="A141">
        <v>18</v>
      </c>
      <c r="B141">
        <v>120</v>
      </c>
      <c r="C141">
        <v>80</v>
      </c>
      <c r="D141">
        <v>6.9</v>
      </c>
      <c r="E141">
        <v>102</v>
      </c>
      <c r="F141">
        <v>76</v>
      </c>
      <c r="G141" t="s">
        <v>9</v>
      </c>
      <c r="H141" s="1" t="str">
        <f t="shared" si="10"/>
        <v>10-20</v>
      </c>
      <c r="I141" s="1" t="str">
        <f t="shared" si="11"/>
        <v>Pre-High</v>
      </c>
      <c r="J141" s="1" t="str">
        <f t="shared" si="12"/>
        <v>Normal</v>
      </c>
      <c r="K141" s="1" t="str">
        <f t="shared" si="13"/>
        <v>Normal</v>
      </c>
      <c r="L141" s="1" t="str">
        <f t="shared" si="14"/>
        <v>High</v>
      </c>
    </row>
    <row r="142" spans="1:12" x14ac:dyDescent="0.25">
      <c r="A142">
        <v>32</v>
      </c>
      <c r="B142">
        <v>140</v>
      </c>
      <c r="C142">
        <v>100</v>
      </c>
      <c r="D142">
        <v>6.9</v>
      </c>
      <c r="E142">
        <v>98</v>
      </c>
      <c r="F142">
        <v>78</v>
      </c>
      <c r="G142" t="s">
        <v>7</v>
      </c>
      <c r="H142" s="1" t="str">
        <f t="shared" si="10"/>
        <v>30-40</v>
      </c>
      <c r="I142" s="1" t="str">
        <f t="shared" si="11"/>
        <v>Critical</v>
      </c>
      <c r="J142" s="1" t="str">
        <f t="shared" si="12"/>
        <v>Normal</v>
      </c>
      <c r="K142" s="1" t="str">
        <f t="shared" si="13"/>
        <v>Normal</v>
      </c>
      <c r="L142" s="1" t="str">
        <f t="shared" si="14"/>
        <v>Normal</v>
      </c>
    </row>
    <row r="143" spans="1:12" x14ac:dyDescent="0.25">
      <c r="A143">
        <v>17</v>
      </c>
      <c r="B143">
        <v>90</v>
      </c>
      <c r="C143">
        <v>60</v>
      </c>
      <c r="D143">
        <v>6.9</v>
      </c>
      <c r="E143">
        <v>101</v>
      </c>
      <c r="F143">
        <v>76</v>
      </c>
      <c r="G143" t="s">
        <v>9</v>
      </c>
      <c r="H143" s="1" t="str">
        <f t="shared" si="10"/>
        <v>10-20</v>
      </c>
      <c r="I143" s="1" t="str">
        <f t="shared" si="11"/>
        <v>Normal</v>
      </c>
      <c r="J143" s="1" t="str">
        <f t="shared" si="12"/>
        <v>Normal</v>
      </c>
      <c r="K143" s="1" t="str">
        <f t="shared" si="13"/>
        <v>Normal</v>
      </c>
      <c r="L143" s="1" t="str">
        <f t="shared" si="14"/>
        <v>High</v>
      </c>
    </row>
    <row r="144" spans="1:12" x14ac:dyDescent="0.25">
      <c r="A144">
        <v>17</v>
      </c>
      <c r="B144">
        <v>90</v>
      </c>
      <c r="C144">
        <v>63</v>
      </c>
      <c r="D144">
        <v>6.9</v>
      </c>
      <c r="E144">
        <v>101</v>
      </c>
      <c r="F144">
        <v>70</v>
      </c>
      <c r="G144" t="s">
        <v>9</v>
      </c>
      <c r="H144" s="1" t="str">
        <f t="shared" si="10"/>
        <v>10-20</v>
      </c>
      <c r="I144" s="1" t="str">
        <f t="shared" si="11"/>
        <v>Normal</v>
      </c>
      <c r="J144" s="1" t="str">
        <f t="shared" si="12"/>
        <v>Normal</v>
      </c>
      <c r="K144" s="1" t="str">
        <f t="shared" si="13"/>
        <v>Normal</v>
      </c>
      <c r="L144" s="1" t="str">
        <f t="shared" si="14"/>
        <v>High</v>
      </c>
    </row>
    <row r="145" spans="1:12" x14ac:dyDescent="0.25">
      <c r="A145">
        <v>25</v>
      </c>
      <c r="B145">
        <v>120</v>
      </c>
      <c r="C145">
        <v>90</v>
      </c>
      <c r="D145">
        <v>6.7</v>
      </c>
      <c r="E145">
        <v>101</v>
      </c>
      <c r="F145">
        <v>80</v>
      </c>
      <c r="G145" t="s">
        <v>9</v>
      </c>
      <c r="H145" s="1" t="str">
        <f t="shared" si="10"/>
        <v>20-30</v>
      </c>
      <c r="I145" s="1" t="str">
        <f t="shared" si="11"/>
        <v>High</v>
      </c>
      <c r="J145" s="1" t="str">
        <f t="shared" si="12"/>
        <v>Normal</v>
      </c>
      <c r="K145" s="1" t="str">
        <f t="shared" si="13"/>
        <v>Normal</v>
      </c>
      <c r="L145" s="1" t="str">
        <f t="shared" si="14"/>
        <v>High</v>
      </c>
    </row>
    <row r="146" spans="1:12" x14ac:dyDescent="0.25">
      <c r="A146">
        <v>17</v>
      </c>
      <c r="B146">
        <v>120</v>
      </c>
      <c r="C146">
        <v>80</v>
      </c>
      <c r="D146">
        <v>6.7</v>
      </c>
      <c r="E146">
        <v>102</v>
      </c>
      <c r="F146">
        <v>76</v>
      </c>
      <c r="G146" t="s">
        <v>9</v>
      </c>
      <c r="H146" s="1" t="str">
        <f t="shared" si="10"/>
        <v>10-20</v>
      </c>
      <c r="I146" s="1" t="str">
        <f t="shared" si="11"/>
        <v>Pre-High</v>
      </c>
      <c r="J146" s="1" t="str">
        <f t="shared" si="12"/>
        <v>Normal</v>
      </c>
      <c r="K146" s="1" t="str">
        <f t="shared" si="13"/>
        <v>Normal</v>
      </c>
      <c r="L146" s="1" t="str">
        <f t="shared" si="14"/>
        <v>High</v>
      </c>
    </row>
    <row r="147" spans="1:12" x14ac:dyDescent="0.25">
      <c r="A147">
        <v>14</v>
      </c>
      <c r="B147">
        <v>90</v>
      </c>
      <c r="C147">
        <v>65</v>
      </c>
      <c r="D147">
        <v>7</v>
      </c>
      <c r="E147">
        <v>101</v>
      </c>
      <c r="F147">
        <v>70</v>
      </c>
      <c r="G147" t="s">
        <v>7</v>
      </c>
      <c r="H147" s="1" t="str">
        <f t="shared" si="10"/>
        <v>10-20</v>
      </c>
      <c r="I147" s="1" t="str">
        <f t="shared" si="11"/>
        <v>Normal</v>
      </c>
      <c r="J147" s="1" t="str">
        <f t="shared" si="12"/>
        <v>Normal</v>
      </c>
      <c r="K147" s="1" t="str">
        <f t="shared" si="13"/>
        <v>Normal</v>
      </c>
      <c r="L147" s="1" t="str">
        <f t="shared" si="14"/>
        <v>High</v>
      </c>
    </row>
    <row r="148" spans="1:12" x14ac:dyDescent="0.25">
      <c r="A148">
        <v>15</v>
      </c>
      <c r="B148">
        <v>80</v>
      </c>
      <c r="C148">
        <v>60</v>
      </c>
      <c r="D148">
        <v>6.7</v>
      </c>
      <c r="E148">
        <v>98</v>
      </c>
      <c r="F148">
        <v>80</v>
      </c>
      <c r="G148" t="s">
        <v>8</v>
      </c>
      <c r="H148" s="1" t="str">
        <f t="shared" si="10"/>
        <v>10-20</v>
      </c>
      <c r="I148" s="1" t="str">
        <f t="shared" si="11"/>
        <v>Normal</v>
      </c>
      <c r="J148" s="1" t="str">
        <f t="shared" si="12"/>
        <v>Normal</v>
      </c>
      <c r="K148" s="1" t="str">
        <f t="shared" si="13"/>
        <v>Normal</v>
      </c>
      <c r="L148" s="1" t="str">
        <f t="shared" si="14"/>
        <v>Normal</v>
      </c>
    </row>
    <row r="149" spans="1:12" x14ac:dyDescent="0.25">
      <c r="A149">
        <v>15</v>
      </c>
      <c r="B149">
        <v>100</v>
      </c>
      <c r="C149">
        <v>65</v>
      </c>
      <c r="D149">
        <v>6.7</v>
      </c>
      <c r="E149">
        <v>98</v>
      </c>
      <c r="F149">
        <v>76</v>
      </c>
      <c r="G149" t="s">
        <v>8</v>
      </c>
      <c r="H149" s="1" t="str">
        <f t="shared" si="10"/>
        <v>10-20</v>
      </c>
      <c r="I149" s="1" t="str">
        <f t="shared" si="11"/>
        <v>Normal</v>
      </c>
      <c r="J149" s="1" t="str">
        <f t="shared" si="12"/>
        <v>Normal</v>
      </c>
      <c r="K149" s="1" t="str">
        <f t="shared" si="13"/>
        <v>Normal</v>
      </c>
      <c r="L149" s="1" t="str">
        <f t="shared" si="14"/>
        <v>Normal</v>
      </c>
    </row>
    <row r="150" spans="1:12" x14ac:dyDescent="0.25">
      <c r="A150">
        <v>12</v>
      </c>
      <c r="B150">
        <v>95</v>
      </c>
      <c r="C150">
        <v>60</v>
      </c>
      <c r="D150">
        <v>6.7</v>
      </c>
      <c r="E150">
        <v>98</v>
      </c>
      <c r="F150">
        <v>77</v>
      </c>
      <c r="G150" t="s">
        <v>8</v>
      </c>
      <c r="H150" s="1" t="str">
        <f t="shared" si="10"/>
        <v>10-20</v>
      </c>
      <c r="I150" s="1" t="str">
        <f t="shared" si="11"/>
        <v>Normal</v>
      </c>
      <c r="J150" s="1" t="str">
        <f t="shared" si="12"/>
        <v>Normal</v>
      </c>
      <c r="K150" s="1" t="str">
        <f t="shared" si="13"/>
        <v>Normal</v>
      </c>
      <c r="L150" s="1" t="str">
        <f t="shared" si="14"/>
        <v>Normal</v>
      </c>
    </row>
    <row r="151" spans="1:12" x14ac:dyDescent="0.25">
      <c r="A151">
        <v>37</v>
      </c>
      <c r="B151">
        <v>120</v>
      </c>
      <c r="C151">
        <v>90</v>
      </c>
      <c r="D151">
        <v>11</v>
      </c>
      <c r="E151">
        <v>98</v>
      </c>
      <c r="F151">
        <v>88</v>
      </c>
      <c r="G151" t="s">
        <v>7</v>
      </c>
      <c r="H151" s="1" t="str">
        <f t="shared" si="10"/>
        <v>30-40</v>
      </c>
      <c r="I151" s="1" t="str">
        <f t="shared" si="11"/>
        <v>High</v>
      </c>
      <c r="J151" s="1" t="str">
        <f t="shared" si="12"/>
        <v>Slightly High</v>
      </c>
      <c r="K151" s="1" t="str">
        <f t="shared" si="13"/>
        <v>High</v>
      </c>
      <c r="L151" s="1" t="str">
        <f t="shared" si="14"/>
        <v>Normal</v>
      </c>
    </row>
    <row r="152" spans="1:12" x14ac:dyDescent="0.25">
      <c r="A152">
        <v>18</v>
      </c>
      <c r="B152">
        <v>100</v>
      </c>
      <c r="C152">
        <v>70</v>
      </c>
      <c r="D152">
        <v>6.7</v>
      </c>
      <c r="E152">
        <v>98</v>
      </c>
      <c r="F152">
        <v>76</v>
      </c>
      <c r="G152" t="s">
        <v>8</v>
      </c>
      <c r="H152" s="1" t="str">
        <f t="shared" si="10"/>
        <v>10-20</v>
      </c>
      <c r="I152" s="1" t="str">
        <f t="shared" si="11"/>
        <v>Normal</v>
      </c>
      <c r="J152" s="1" t="str">
        <f t="shared" si="12"/>
        <v>Normal</v>
      </c>
      <c r="K152" s="1" t="str">
        <f t="shared" si="13"/>
        <v>Normal</v>
      </c>
      <c r="L152" s="1" t="str">
        <f t="shared" si="14"/>
        <v>Normal</v>
      </c>
    </row>
    <row r="153" spans="1:12" x14ac:dyDescent="0.25">
      <c r="A153">
        <v>21</v>
      </c>
      <c r="B153">
        <v>100</v>
      </c>
      <c r="C153">
        <v>85</v>
      </c>
      <c r="D153">
        <v>6.7</v>
      </c>
      <c r="E153">
        <v>98</v>
      </c>
      <c r="F153">
        <v>70</v>
      </c>
      <c r="G153" t="s">
        <v>8</v>
      </c>
      <c r="H153" s="1" t="str">
        <f t="shared" si="10"/>
        <v>20-30</v>
      </c>
      <c r="I153" s="1" t="str">
        <f t="shared" si="11"/>
        <v>Pre-High</v>
      </c>
      <c r="J153" s="1" t="str">
        <f t="shared" si="12"/>
        <v>Normal</v>
      </c>
      <c r="K153" s="1" t="str">
        <f t="shared" si="13"/>
        <v>Normal</v>
      </c>
      <c r="L153" s="1" t="str">
        <f t="shared" si="14"/>
        <v>Normal</v>
      </c>
    </row>
    <row r="154" spans="1:12" x14ac:dyDescent="0.25">
      <c r="A154">
        <v>17</v>
      </c>
      <c r="B154">
        <v>110</v>
      </c>
      <c r="C154">
        <v>75</v>
      </c>
      <c r="D154">
        <v>12</v>
      </c>
      <c r="E154">
        <v>101</v>
      </c>
      <c r="F154">
        <v>76</v>
      </c>
      <c r="G154" t="s">
        <v>7</v>
      </c>
      <c r="H154" s="1" t="str">
        <f t="shared" si="10"/>
        <v>10-20</v>
      </c>
      <c r="I154" s="1" t="str">
        <f t="shared" si="11"/>
        <v>Normal</v>
      </c>
      <c r="J154" s="1" t="str">
        <f t="shared" si="12"/>
        <v>High</v>
      </c>
      <c r="K154" s="1" t="str">
        <f t="shared" si="13"/>
        <v>Normal</v>
      </c>
      <c r="L154" s="1" t="str">
        <f t="shared" si="14"/>
        <v>High</v>
      </c>
    </row>
    <row r="155" spans="1:12" x14ac:dyDescent="0.25">
      <c r="A155">
        <v>25</v>
      </c>
      <c r="B155">
        <v>120</v>
      </c>
      <c r="C155">
        <v>90</v>
      </c>
      <c r="D155">
        <v>7.5</v>
      </c>
      <c r="E155">
        <v>98</v>
      </c>
      <c r="F155">
        <v>80</v>
      </c>
      <c r="G155" t="s">
        <v>8</v>
      </c>
      <c r="H155" s="1" t="str">
        <f t="shared" si="10"/>
        <v>20-30</v>
      </c>
      <c r="I155" s="1" t="str">
        <f t="shared" si="11"/>
        <v>High</v>
      </c>
      <c r="J155" s="1" t="str">
        <f t="shared" si="12"/>
        <v>Normal</v>
      </c>
      <c r="K155" s="1" t="str">
        <f t="shared" si="13"/>
        <v>Normal</v>
      </c>
      <c r="L155" s="1" t="str">
        <f t="shared" si="14"/>
        <v>Normal</v>
      </c>
    </row>
    <row r="156" spans="1:12" x14ac:dyDescent="0.25">
      <c r="A156">
        <v>23</v>
      </c>
      <c r="B156">
        <v>85</v>
      </c>
      <c r="C156">
        <v>65</v>
      </c>
      <c r="D156">
        <v>7.5</v>
      </c>
      <c r="E156">
        <v>98</v>
      </c>
      <c r="F156">
        <v>70</v>
      </c>
      <c r="G156" t="s">
        <v>8</v>
      </c>
      <c r="H156" s="1" t="str">
        <f t="shared" si="10"/>
        <v>20-30</v>
      </c>
      <c r="I156" s="1" t="str">
        <f t="shared" si="11"/>
        <v>Normal</v>
      </c>
      <c r="J156" s="1" t="str">
        <f t="shared" si="12"/>
        <v>Normal</v>
      </c>
      <c r="K156" s="1" t="str">
        <f t="shared" si="13"/>
        <v>Normal</v>
      </c>
      <c r="L156" s="1" t="str">
        <f t="shared" si="14"/>
        <v>Normal</v>
      </c>
    </row>
    <row r="157" spans="1:12" x14ac:dyDescent="0.25">
      <c r="A157">
        <v>12</v>
      </c>
      <c r="B157">
        <v>95</v>
      </c>
      <c r="C157">
        <v>60</v>
      </c>
      <c r="D157">
        <v>7.5</v>
      </c>
      <c r="E157">
        <v>98</v>
      </c>
      <c r="F157">
        <v>65</v>
      </c>
      <c r="G157" t="s">
        <v>8</v>
      </c>
      <c r="H157" s="1" t="str">
        <f t="shared" si="10"/>
        <v>10-20</v>
      </c>
      <c r="I157" s="1" t="str">
        <f t="shared" si="11"/>
        <v>Normal</v>
      </c>
      <c r="J157" s="1" t="str">
        <f t="shared" si="12"/>
        <v>Normal</v>
      </c>
      <c r="K157" s="1" t="str">
        <f t="shared" si="13"/>
        <v>Low</v>
      </c>
      <c r="L157" s="1" t="str">
        <f t="shared" si="14"/>
        <v>Normal</v>
      </c>
    </row>
    <row r="158" spans="1:12" x14ac:dyDescent="0.25">
      <c r="A158">
        <v>28</v>
      </c>
      <c r="B158">
        <v>120</v>
      </c>
      <c r="C158">
        <v>90</v>
      </c>
      <c r="D158">
        <v>7.5</v>
      </c>
      <c r="E158">
        <v>98</v>
      </c>
      <c r="F158">
        <v>70</v>
      </c>
      <c r="G158" t="s">
        <v>8</v>
      </c>
      <c r="H158" s="1" t="str">
        <f t="shared" si="10"/>
        <v>20-30</v>
      </c>
      <c r="I158" s="1" t="str">
        <f t="shared" si="11"/>
        <v>High</v>
      </c>
      <c r="J158" s="1" t="str">
        <f t="shared" si="12"/>
        <v>Normal</v>
      </c>
      <c r="K158" s="1" t="str">
        <f t="shared" si="13"/>
        <v>Normal</v>
      </c>
      <c r="L158" s="1" t="str">
        <f t="shared" si="14"/>
        <v>Normal</v>
      </c>
    </row>
    <row r="159" spans="1:12" x14ac:dyDescent="0.25">
      <c r="A159">
        <v>40</v>
      </c>
      <c r="B159">
        <v>120</v>
      </c>
      <c r="C159">
        <v>90</v>
      </c>
      <c r="D159">
        <v>12</v>
      </c>
      <c r="E159">
        <v>98</v>
      </c>
      <c r="F159">
        <v>80</v>
      </c>
      <c r="G159" t="s">
        <v>7</v>
      </c>
      <c r="H159" s="1" t="str">
        <f t="shared" si="10"/>
        <v>30-40</v>
      </c>
      <c r="I159" s="1" t="str">
        <f t="shared" si="11"/>
        <v>High</v>
      </c>
      <c r="J159" s="1" t="str">
        <f t="shared" si="12"/>
        <v>High</v>
      </c>
      <c r="K159" s="1" t="str">
        <f t="shared" si="13"/>
        <v>Normal</v>
      </c>
      <c r="L159" s="1" t="str">
        <f t="shared" si="14"/>
        <v>Normal</v>
      </c>
    </row>
    <row r="160" spans="1:12" x14ac:dyDescent="0.25">
      <c r="A160">
        <v>55</v>
      </c>
      <c r="B160">
        <v>129</v>
      </c>
      <c r="C160">
        <v>85</v>
      </c>
      <c r="D160">
        <v>7.5</v>
      </c>
      <c r="E160">
        <v>98</v>
      </c>
      <c r="F160">
        <v>88</v>
      </c>
      <c r="G160" t="s">
        <v>8</v>
      </c>
      <c r="H160" s="1" t="str">
        <f t="shared" si="10"/>
        <v>50+</v>
      </c>
      <c r="I160" s="1" t="str">
        <f t="shared" si="11"/>
        <v>Pre-High</v>
      </c>
      <c r="J160" s="1" t="str">
        <f t="shared" si="12"/>
        <v>Normal</v>
      </c>
      <c r="K160" s="1" t="str">
        <f t="shared" si="13"/>
        <v>High</v>
      </c>
      <c r="L160" s="1" t="str">
        <f t="shared" si="14"/>
        <v>Normal</v>
      </c>
    </row>
    <row r="161" spans="1:12" x14ac:dyDescent="0.25">
      <c r="A161">
        <v>25</v>
      </c>
      <c r="B161">
        <v>100</v>
      </c>
      <c r="C161">
        <v>90</v>
      </c>
      <c r="D161">
        <v>7.5</v>
      </c>
      <c r="E161">
        <v>98</v>
      </c>
      <c r="F161">
        <v>76</v>
      </c>
      <c r="G161" t="s">
        <v>8</v>
      </c>
      <c r="H161" s="1" t="str">
        <f t="shared" si="10"/>
        <v>20-30</v>
      </c>
      <c r="I161" s="1" t="str">
        <f t="shared" si="11"/>
        <v>High</v>
      </c>
      <c r="J161" s="1" t="str">
        <f t="shared" si="12"/>
        <v>Normal</v>
      </c>
      <c r="K161" s="1" t="str">
        <f t="shared" si="13"/>
        <v>Normal</v>
      </c>
      <c r="L161" s="1" t="str">
        <f t="shared" si="14"/>
        <v>Normal</v>
      </c>
    </row>
    <row r="162" spans="1:12" x14ac:dyDescent="0.25">
      <c r="A162">
        <v>35</v>
      </c>
      <c r="B162">
        <v>120</v>
      </c>
      <c r="C162">
        <v>80</v>
      </c>
      <c r="D162">
        <v>7.5</v>
      </c>
      <c r="E162">
        <v>98</v>
      </c>
      <c r="F162">
        <v>80</v>
      </c>
      <c r="G162" t="s">
        <v>8</v>
      </c>
      <c r="H162" s="1" t="str">
        <f t="shared" si="10"/>
        <v>30-40</v>
      </c>
      <c r="I162" s="1" t="str">
        <f t="shared" si="11"/>
        <v>Pre-High</v>
      </c>
      <c r="J162" s="1" t="str">
        <f t="shared" si="12"/>
        <v>Normal</v>
      </c>
      <c r="K162" s="1" t="str">
        <f t="shared" si="13"/>
        <v>Normal</v>
      </c>
      <c r="L162" s="1" t="str">
        <f t="shared" si="14"/>
        <v>Normal</v>
      </c>
    </row>
    <row r="163" spans="1:12" x14ac:dyDescent="0.25">
      <c r="A163">
        <v>21</v>
      </c>
      <c r="B163">
        <v>90</v>
      </c>
      <c r="C163">
        <v>65</v>
      </c>
      <c r="D163">
        <v>7.5</v>
      </c>
      <c r="E163">
        <v>98</v>
      </c>
      <c r="F163">
        <v>76</v>
      </c>
      <c r="G163" t="s">
        <v>8</v>
      </c>
      <c r="H163" s="1" t="str">
        <f t="shared" si="10"/>
        <v>20-30</v>
      </c>
      <c r="I163" s="1" t="str">
        <f t="shared" si="11"/>
        <v>Normal</v>
      </c>
      <c r="J163" s="1" t="str">
        <f t="shared" si="12"/>
        <v>Normal</v>
      </c>
      <c r="K163" s="1" t="str">
        <f t="shared" si="13"/>
        <v>Normal</v>
      </c>
      <c r="L163" s="1" t="str">
        <f t="shared" si="14"/>
        <v>Normal</v>
      </c>
    </row>
    <row r="164" spans="1:12" x14ac:dyDescent="0.25">
      <c r="A164">
        <v>18</v>
      </c>
      <c r="B164">
        <v>90</v>
      </c>
      <c r="C164">
        <v>60</v>
      </c>
      <c r="D164">
        <v>7.5</v>
      </c>
      <c r="E164">
        <v>98</v>
      </c>
      <c r="F164">
        <v>70</v>
      </c>
      <c r="G164" t="s">
        <v>8</v>
      </c>
      <c r="H164" s="1" t="str">
        <f t="shared" si="10"/>
        <v>10-20</v>
      </c>
      <c r="I164" s="1" t="str">
        <f t="shared" si="11"/>
        <v>Normal</v>
      </c>
      <c r="J164" s="1" t="str">
        <f t="shared" si="12"/>
        <v>Normal</v>
      </c>
      <c r="K164" s="1" t="str">
        <f t="shared" si="13"/>
        <v>Normal</v>
      </c>
      <c r="L164" s="1" t="str">
        <f t="shared" si="14"/>
        <v>Normal</v>
      </c>
    </row>
    <row r="165" spans="1:12" x14ac:dyDescent="0.25">
      <c r="A165">
        <v>21</v>
      </c>
      <c r="B165">
        <v>120</v>
      </c>
      <c r="C165">
        <v>80</v>
      </c>
      <c r="D165">
        <v>7.5</v>
      </c>
      <c r="E165">
        <v>98</v>
      </c>
      <c r="F165">
        <v>76</v>
      </c>
      <c r="G165" t="s">
        <v>8</v>
      </c>
      <c r="H165" s="1" t="str">
        <f t="shared" si="10"/>
        <v>20-30</v>
      </c>
      <c r="I165" s="1" t="str">
        <f t="shared" si="11"/>
        <v>Pre-High</v>
      </c>
      <c r="J165" s="1" t="str">
        <f t="shared" si="12"/>
        <v>Normal</v>
      </c>
      <c r="K165" s="1" t="str">
        <f t="shared" si="13"/>
        <v>Normal</v>
      </c>
      <c r="L165" s="1" t="str">
        <f t="shared" si="14"/>
        <v>Normal</v>
      </c>
    </row>
    <row r="166" spans="1:12" x14ac:dyDescent="0.25">
      <c r="A166">
        <v>16</v>
      </c>
      <c r="B166">
        <v>100</v>
      </c>
      <c r="C166">
        <v>70</v>
      </c>
      <c r="D166">
        <v>7.2</v>
      </c>
      <c r="E166">
        <v>98</v>
      </c>
      <c r="F166">
        <v>80</v>
      </c>
      <c r="G166" t="s">
        <v>8</v>
      </c>
      <c r="H166" s="1" t="str">
        <f t="shared" si="10"/>
        <v>10-20</v>
      </c>
      <c r="I166" s="1" t="str">
        <f t="shared" si="11"/>
        <v>Normal</v>
      </c>
      <c r="J166" s="1" t="str">
        <f t="shared" si="12"/>
        <v>Normal</v>
      </c>
      <c r="K166" s="1" t="str">
        <f t="shared" si="13"/>
        <v>Normal</v>
      </c>
      <c r="L166" s="1" t="str">
        <f t="shared" si="14"/>
        <v>Normal</v>
      </c>
    </row>
    <row r="167" spans="1:12" x14ac:dyDescent="0.25">
      <c r="A167">
        <v>19</v>
      </c>
      <c r="B167">
        <v>120</v>
      </c>
      <c r="C167">
        <v>75</v>
      </c>
      <c r="D167">
        <v>7.2</v>
      </c>
      <c r="E167">
        <v>98</v>
      </c>
      <c r="F167">
        <v>66</v>
      </c>
      <c r="G167" t="s">
        <v>8</v>
      </c>
      <c r="H167" s="1" t="str">
        <f t="shared" si="10"/>
        <v>10-20</v>
      </c>
      <c r="I167" s="1" t="str">
        <f t="shared" si="11"/>
        <v>Pre-High</v>
      </c>
      <c r="J167" s="1" t="str">
        <f t="shared" si="12"/>
        <v>Normal</v>
      </c>
      <c r="K167" s="1" t="str">
        <f t="shared" si="13"/>
        <v>Low</v>
      </c>
      <c r="L167" s="1" t="str">
        <f t="shared" si="14"/>
        <v>Normal</v>
      </c>
    </row>
    <row r="168" spans="1:12" x14ac:dyDescent="0.25">
      <c r="A168">
        <v>40</v>
      </c>
      <c r="B168">
        <v>160</v>
      </c>
      <c r="C168">
        <v>100</v>
      </c>
      <c r="D168">
        <v>19</v>
      </c>
      <c r="E168">
        <v>98</v>
      </c>
      <c r="F168">
        <v>77</v>
      </c>
      <c r="G168" t="s">
        <v>7</v>
      </c>
      <c r="H168" s="1" t="str">
        <f t="shared" si="10"/>
        <v>30-40</v>
      </c>
      <c r="I168" s="1" t="str">
        <f t="shared" si="11"/>
        <v>Critical</v>
      </c>
      <c r="J168" s="1" t="str">
        <f t="shared" si="12"/>
        <v>High</v>
      </c>
      <c r="K168" s="1" t="str">
        <f t="shared" si="13"/>
        <v>Normal</v>
      </c>
      <c r="L168" s="1" t="str">
        <f t="shared" si="14"/>
        <v>Normal</v>
      </c>
    </row>
    <row r="169" spans="1:12" x14ac:dyDescent="0.25">
      <c r="A169">
        <v>32</v>
      </c>
      <c r="B169">
        <v>140</v>
      </c>
      <c r="C169">
        <v>90</v>
      </c>
      <c r="D169">
        <v>18</v>
      </c>
      <c r="E169">
        <v>98</v>
      </c>
      <c r="F169">
        <v>88</v>
      </c>
      <c r="G169" t="s">
        <v>7</v>
      </c>
      <c r="H169" s="1" t="str">
        <f t="shared" si="10"/>
        <v>30-40</v>
      </c>
      <c r="I169" s="1" t="str">
        <f t="shared" si="11"/>
        <v>High</v>
      </c>
      <c r="J169" s="1" t="str">
        <f t="shared" si="12"/>
        <v>High</v>
      </c>
      <c r="K169" s="1" t="str">
        <f t="shared" si="13"/>
        <v>High</v>
      </c>
      <c r="L169" s="1" t="str">
        <f t="shared" si="14"/>
        <v>Normal</v>
      </c>
    </row>
    <row r="170" spans="1:12" x14ac:dyDescent="0.25">
      <c r="A170">
        <v>22</v>
      </c>
      <c r="B170">
        <v>100</v>
      </c>
      <c r="C170">
        <v>65</v>
      </c>
      <c r="D170">
        <v>7.2</v>
      </c>
      <c r="E170">
        <v>98</v>
      </c>
      <c r="F170">
        <v>70</v>
      </c>
      <c r="G170" t="s">
        <v>8</v>
      </c>
      <c r="H170" s="1" t="str">
        <f t="shared" si="10"/>
        <v>20-30</v>
      </c>
      <c r="I170" s="1" t="str">
        <f t="shared" si="11"/>
        <v>Normal</v>
      </c>
      <c r="J170" s="1" t="str">
        <f t="shared" si="12"/>
        <v>Normal</v>
      </c>
      <c r="K170" s="1" t="str">
        <f t="shared" si="13"/>
        <v>Normal</v>
      </c>
      <c r="L170" s="1" t="str">
        <f t="shared" si="14"/>
        <v>Normal</v>
      </c>
    </row>
    <row r="171" spans="1:12" x14ac:dyDescent="0.25">
      <c r="A171">
        <v>49</v>
      </c>
      <c r="B171">
        <v>120</v>
      </c>
      <c r="C171">
        <v>90</v>
      </c>
      <c r="D171">
        <v>7.2</v>
      </c>
      <c r="E171">
        <v>98</v>
      </c>
      <c r="F171">
        <v>77</v>
      </c>
      <c r="G171" t="s">
        <v>8</v>
      </c>
      <c r="H171" s="1" t="str">
        <f t="shared" si="10"/>
        <v>40-50</v>
      </c>
      <c r="I171" s="1" t="str">
        <f t="shared" si="11"/>
        <v>High</v>
      </c>
      <c r="J171" s="1" t="str">
        <f t="shared" si="12"/>
        <v>Normal</v>
      </c>
      <c r="K171" s="1" t="str">
        <f t="shared" si="13"/>
        <v>Normal</v>
      </c>
      <c r="L171" s="1" t="str">
        <f t="shared" si="14"/>
        <v>Normal</v>
      </c>
    </row>
    <row r="172" spans="1:12" x14ac:dyDescent="0.25">
      <c r="A172">
        <v>28</v>
      </c>
      <c r="B172">
        <v>90</v>
      </c>
      <c r="C172">
        <v>60</v>
      </c>
      <c r="D172">
        <v>7.2</v>
      </c>
      <c r="E172">
        <v>98</v>
      </c>
      <c r="F172">
        <v>82</v>
      </c>
      <c r="G172" t="s">
        <v>8</v>
      </c>
      <c r="H172" s="1" t="str">
        <f t="shared" si="10"/>
        <v>20-30</v>
      </c>
      <c r="I172" s="1" t="str">
        <f t="shared" si="11"/>
        <v>Normal</v>
      </c>
      <c r="J172" s="1" t="str">
        <f t="shared" si="12"/>
        <v>Normal</v>
      </c>
      <c r="K172" s="1" t="str">
        <f t="shared" si="13"/>
        <v>Normal</v>
      </c>
      <c r="L172" s="1" t="str">
        <f t="shared" si="14"/>
        <v>Normal</v>
      </c>
    </row>
    <row r="173" spans="1:12" x14ac:dyDescent="0.25">
      <c r="A173">
        <v>12</v>
      </c>
      <c r="B173">
        <v>90</v>
      </c>
      <c r="C173">
        <v>60</v>
      </c>
      <c r="D173">
        <v>7.9</v>
      </c>
      <c r="E173">
        <v>102</v>
      </c>
      <c r="F173">
        <v>66</v>
      </c>
      <c r="G173" t="s">
        <v>7</v>
      </c>
      <c r="H173" s="1" t="str">
        <f t="shared" si="10"/>
        <v>10-20</v>
      </c>
      <c r="I173" s="1" t="str">
        <f t="shared" si="11"/>
        <v>Normal</v>
      </c>
      <c r="J173" s="1" t="str">
        <f t="shared" si="12"/>
        <v>Normal</v>
      </c>
      <c r="K173" s="1" t="str">
        <f t="shared" si="13"/>
        <v>Low</v>
      </c>
      <c r="L173" s="1" t="str">
        <f t="shared" si="14"/>
        <v>High</v>
      </c>
    </row>
    <row r="174" spans="1:12" x14ac:dyDescent="0.25">
      <c r="A174">
        <v>20</v>
      </c>
      <c r="B174">
        <v>100</v>
      </c>
      <c r="C174">
        <v>90</v>
      </c>
      <c r="D174">
        <v>7.1</v>
      </c>
      <c r="E174">
        <v>98</v>
      </c>
      <c r="F174">
        <v>88</v>
      </c>
      <c r="G174" t="s">
        <v>8</v>
      </c>
      <c r="H174" s="1" t="str">
        <f t="shared" si="10"/>
        <v>10-20</v>
      </c>
      <c r="I174" s="1" t="str">
        <f t="shared" si="11"/>
        <v>High</v>
      </c>
      <c r="J174" s="1" t="str">
        <f t="shared" si="12"/>
        <v>Normal</v>
      </c>
      <c r="K174" s="1" t="str">
        <f t="shared" si="13"/>
        <v>High</v>
      </c>
      <c r="L174" s="1" t="str">
        <f t="shared" si="14"/>
        <v>Normal</v>
      </c>
    </row>
    <row r="175" spans="1:12" x14ac:dyDescent="0.25">
      <c r="A175">
        <v>23</v>
      </c>
      <c r="B175">
        <v>100</v>
      </c>
      <c r="C175">
        <v>85</v>
      </c>
      <c r="D175">
        <v>7.1</v>
      </c>
      <c r="E175">
        <v>98</v>
      </c>
      <c r="F175">
        <v>66</v>
      </c>
      <c r="G175" t="s">
        <v>8</v>
      </c>
      <c r="H175" s="1" t="str">
        <f t="shared" si="10"/>
        <v>20-30</v>
      </c>
      <c r="I175" s="1" t="str">
        <f t="shared" si="11"/>
        <v>Pre-High</v>
      </c>
      <c r="J175" s="1" t="str">
        <f t="shared" si="12"/>
        <v>Normal</v>
      </c>
      <c r="K175" s="1" t="str">
        <f t="shared" si="13"/>
        <v>Low</v>
      </c>
      <c r="L175" s="1" t="str">
        <f t="shared" si="14"/>
        <v>Normal</v>
      </c>
    </row>
    <row r="176" spans="1:12" x14ac:dyDescent="0.25">
      <c r="A176">
        <v>22</v>
      </c>
      <c r="B176">
        <v>120</v>
      </c>
      <c r="C176">
        <v>90</v>
      </c>
      <c r="D176">
        <v>7.1</v>
      </c>
      <c r="E176">
        <v>98</v>
      </c>
      <c r="F176">
        <v>82</v>
      </c>
      <c r="G176" t="s">
        <v>8</v>
      </c>
      <c r="H176" s="1" t="str">
        <f t="shared" si="10"/>
        <v>20-30</v>
      </c>
      <c r="I176" s="1" t="str">
        <f t="shared" si="11"/>
        <v>High</v>
      </c>
      <c r="J176" s="1" t="str">
        <f t="shared" si="12"/>
        <v>Normal</v>
      </c>
      <c r="K176" s="1" t="str">
        <f t="shared" si="13"/>
        <v>Normal</v>
      </c>
      <c r="L176" s="1" t="str">
        <f t="shared" si="14"/>
        <v>Normal</v>
      </c>
    </row>
    <row r="177" spans="1:12" x14ac:dyDescent="0.25">
      <c r="A177">
        <v>21</v>
      </c>
      <c r="B177">
        <v>120</v>
      </c>
      <c r="C177">
        <v>80</v>
      </c>
      <c r="D177">
        <v>7.1</v>
      </c>
      <c r="E177">
        <v>98</v>
      </c>
      <c r="F177">
        <v>77</v>
      </c>
      <c r="G177" t="s">
        <v>8</v>
      </c>
      <c r="H177" s="1" t="str">
        <f t="shared" si="10"/>
        <v>20-30</v>
      </c>
      <c r="I177" s="1" t="str">
        <f t="shared" si="11"/>
        <v>Pre-High</v>
      </c>
      <c r="J177" s="1" t="str">
        <f t="shared" si="12"/>
        <v>Normal</v>
      </c>
      <c r="K177" s="1" t="str">
        <f t="shared" si="13"/>
        <v>Normal</v>
      </c>
      <c r="L177" s="1" t="str">
        <f t="shared" si="14"/>
        <v>Normal</v>
      </c>
    </row>
    <row r="178" spans="1:12" x14ac:dyDescent="0.25">
      <c r="A178">
        <v>35</v>
      </c>
      <c r="B178">
        <v>140</v>
      </c>
      <c r="C178">
        <v>100</v>
      </c>
      <c r="D178">
        <v>8</v>
      </c>
      <c r="E178">
        <v>98</v>
      </c>
      <c r="F178">
        <v>66</v>
      </c>
      <c r="G178" t="s">
        <v>7</v>
      </c>
      <c r="H178" s="1" t="str">
        <f t="shared" si="10"/>
        <v>30-40</v>
      </c>
      <c r="I178" s="1" t="str">
        <f t="shared" si="11"/>
        <v>Critical</v>
      </c>
      <c r="J178" s="1" t="str">
        <f t="shared" si="12"/>
        <v>Slightly High</v>
      </c>
      <c r="K178" s="1" t="str">
        <f t="shared" si="13"/>
        <v>Low</v>
      </c>
      <c r="L178" s="1" t="str">
        <f t="shared" si="14"/>
        <v>Normal</v>
      </c>
    </row>
    <row r="179" spans="1:12" x14ac:dyDescent="0.25">
      <c r="A179">
        <v>54</v>
      </c>
      <c r="B179">
        <v>140</v>
      </c>
      <c r="C179">
        <v>100</v>
      </c>
      <c r="D179">
        <v>15</v>
      </c>
      <c r="E179">
        <v>98</v>
      </c>
      <c r="F179">
        <v>66</v>
      </c>
      <c r="G179" t="s">
        <v>7</v>
      </c>
      <c r="H179" s="1" t="str">
        <f t="shared" si="10"/>
        <v>50+</v>
      </c>
      <c r="I179" s="1" t="str">
        <f t="shared" si="11"/>
        <v>Critical</v>
      </c>
      <c r="J179" s="1" t="str">
        <f t="shared" si="12"/>
        <v>High</v>
      </c>
      <c r="K179" s="1" t="str">
        <f t="shared" si="13"/>
        <v>Low</v>
      </c>
      <c r="L179" s="1" t="str">
        <f t="shared" si="14"/>
        <v>Normal</v>
      </c>
    </row>
    <row r="180" spans="1:12" x14ac:dyDescent="0.25">
      <c r="A180">
        <v>40</v>
      </c>
      <c r="B180">
        <v>120</v>
      </c>
      <c r="C180">
        <v>95</v>
      </c>
      <c r="D180">
        <v>11</v>
      </c>
      <c r="E180">
        <v>98</v>
      </c>
      <c r="F180">
        <v>80</v>
      </c>
      <c r="G180" t="s">
        <v>7</v>
      </c>
      <c r="H180" s="1" t="str">
        <f t="shared" si="10"/>
        <v>30-40</v>
      </c>
      <c r="I180" s="1" t="str">
        <f t="shared" si="11"/>
        <v>High</v>
      </c>
      <c r="J180" s="1" t="str">
        <f t="shared" si="12"/>
        <v>Slightly High</v>
      </c>
      <c r="K180" s="1" t="str">
        <f t="shared" si="13"/>
        <v>Normal</v>
      </c>
      <c r="L180" s="1" t="str">
        <f t="shared" si="14"/>
        <v>Normal</v>
      </c>
    </row>
    <row r="181" spans="1:12" x14ac:dyDescent="0.25">
      <c r="A181">
        <v>21</v>
      </c>
      <c r="B181">
        <v>75</v>
      </c>
      <c r="C181">
        <v>50</v>
      </c>
      <c r="D181">
        <v>6.1</v>
      </c>
      <c r="E181">
        <v>98</v>
      </c>
      <c r="F181">
        <v>70</v>
      </c>
      <c r="G181" t="s">
        <v>8</v>
      </c>
      <c r="H181" s="1" t="str">
        <f t="shared" si="10"/>
        <v>20-30</v>
      </c>
      <c r="I181" s="1" t="str">
        <f t="shared" si="11"/>
        <v>Low BP</v>
      </c>
      <c r="J181" s="1" t="str">
        <f t="shared" si="12"/>
        <v>Normal</v>
      </c>
      <c r="K181" s="1" t="str">
        <f t="shared" si="13"/>
        <v>Normal</v>
      </c>
      <c r="L181" s="1" t="str">
        <f t="shared" si="14"/>
        <v>Normal</v>
      </c>
    </row>
    <row r="182" spans="1:12" x14ac:dyDescent="0.25">
      <c r="A182">
        <v>12</v>
      </c>
      <c r="B182">
        <v>95</v>
      </c>
      <c r="C182">
        <v>60</v>
      </c>
      <c r="D182">
        <v>6.1</v>
      </c>
      <c r="E182">
        <v>102</v>
      </c>
      <c r="F182">
        <v>60</v>
      </c>
      <c r="G182" t="s">
        <v>8</v>
      </c>
      <c r="H182" s="1" t="str">
        <f t="shared" si="10"/>
        <v>10-20</v>
      </c>
      <c r="I182" s="1" t="str">
        <f t="shared" si="11"/>
        <v>Normal</v>
      </c>
      <c r="J182" s="1" t="str">
        <f t="shared" si="12"/>
        <v>Normal</v>
      </c>
      <c r="K182" s="1" t="str">
        <f t="shared" si="13"/>
        <v>Low</v>
      </c>
      <c r="L182" s="1" t="str">
        <f t="shared" si="14"/>
        <v>High</v>
      </c>
    </row>
    <row r="183" spans="1:12" x14ac:dyDescent="0.25">
      <c r="A183">
        <v>60</v>
      </c>
      <c r="B183">
        <v>120</v>
      </c>
      <c r="C183">
        <v>85</v>
      </c>
      <c r="D183">
        <v>15</v>
      </c>
      <c r="E183">
        <v>98</v>
      </c>
      <c r="F183">
        <v>60</v>
      </c>
      <c r="G183" t="s">
        <v>7</v>
      </c>
      <c r="H183" s="1" t="str">
        <f t="shared" si="10"/>
        <v>50+</v>
      </c>
      <c r="I183" s="1" t="str">
        <f t="shared" si="11"/>
        <v>Pre-High</v>
      </c>
      <c r="J183" s="1" t="str">
        <f t="shared" si="12"/>
        <v>High</v>
      </c>
      <c r="K183" s="1" t="str">
        <f t="shared" si="13"/>
        <v>Low</v>
      </c>
      <c r="L183" s="1" t="str">
        <f t="shared" si="14"/>
        <v>Normal</v>
      </c>
    </row>
    <row r="184" spans="1:12" x14ac:dyDescent="0.25">
      <c r="A184">
        <v>55</v>
      </c>
      <c r="B184">
        <v>140</v>
      </c>
      <c r="C184">
        <v>95</v>
      </c>
      <c r="D184">
        <v>19</v>
      </c>
      <c r="E184">
        <v>98</v>
      </c>
      <c r="F184">
        <v>77</v>
      </c>
      <c r="G184" t="s">
        <v>7</v>
      </c>
      <c r="H184" s="1" t="str">
        <f t="shared" si="10"/>
        <v>50+</v>
      </c>
      <c r="I184" s="1" t="str">
        <f t="shared" si="11"/>
        <v>High</v>
      </c>
      <c r="J184" s="1" t="str">
        <f t="shared" si="12"/>
        <v>High</v>
      </c>
      <c r="K184" s="1" t="str">
        <f t="shared" si="13"/>
        <v>Normal</v>
      </c>
      <c r="L184" s="1" t="str">
        <f t="shared" si="14"/>
        <v>Normal</v>
      </c>
    </row>
    <row r="185" spans="1:12" x14ac:dyDescent="0.25">
      <c r="A185">
        <v>50</v>
      </c>
      <c r="B185">
        <v>130</v>
      </c>
      <c r="C185">
        <v>100</v>
      </c>
      <c r="D185">
        <v>16</v>
      </c>
      <c r="E185">
        <v>98</v>
      </c>
      <c r="F185">
        <v>75</v>
      </c>
      <c r="G185" t="s">
        <v>7</v>
      </c>
      <c r="H185" s="1" t="str">
        <f t="shared" si="10"/>
        <v>40-50</v>
      </c>
      <c r="I185" s="1" t="str">
        <f t="shared" si="11"/>
        <v>Critical</v>
      </c>
      <c r="J185" s="1" t="str">
        <f t="shared" si="12"/>
        <v>High</v>
      </c>
      <c r="K185" s="1" t="str">
        <f t="shared" si="13"/>
        <v>Normal</v>
      </c>
      <c r="L185" s="1" t="str">
        <f t="shared" si="14"/>
        <v>Normal</v>
      </c>
    </row>
    <row r="186" spans="1:12" x14ac:dyDescent="0.25">
      <c r="A186">
        <v>60</v>
      </c>
      <c r="B186">
        <v>120</v>
      </c>
      <c r="C186">
        <v>80</v>
      </c>
      <c r="D186">
        <v>6.1</v>
      </c>
      <c r="E186">
        <v>98</v>
      </c>
      <c r="F186">
        <v>75</v>
      </c>
      <c r="G186" t="s">
        <v>8</v>
      </c>
      <c r="H186" s="1" t="str">
        <f t="shared" si="10"/>
        <v>50+</v>
      </c>
      <c r="I186" s="1" t="str">
        <f t="shared" si="11"/>
        <v>Pre-High</v>
      </c>
      <c r="J186" s="1" t="str">
        <f t="shared" si="12"/>
        <v>Normal</v>
      </c>
      <c r="K186" s="1" t="str">
        <f t="shared" si="13"/>
        <v>Normal</v>
      </c>
      <c r="L186" s="1" t="str">
        <f t="shared" si="14"/>
        <v>Normal</v>
      </c>
    </row>
    <row r="187" spans="1:12" x14ac:dyDescent="0.25">
      <c r="A187">
        <v>55</v>
      </c>
      <c r="B187">
        <v>100</v>
      </c>
      <c r="C187">
        <v>65</v>
      </c>
      <c r="D187">
        <v>6.1</v>
      </c>
      <c r="E187">
        <v>98</v>
      </c>
      <c r="F187">
        <v>66</v>
      </c>
      <c r="G187" t="s">
        <v>8</v>
      </c>
      <c r="H187" s="1" t="str">
        <f t="shared" si="10"/>
        <v>50+</v>
      </c>
      <c r="I187" s="1" t="str">
        <f t="shared" si="11"/>
        <v>Normal</v>
      </c>
      <c r="J187" s="1" t="str">
        <f t="shared" si="12"/>
        <v>Normal</v>
      </c>
      <c r="K187" s="1" t="str">
        <f t="shared" si="13"/>
        <v>Low</v>
      </c>
      <c r="L187" s="1" t="str">
        <f t="shared" si="14"/>
        <v>Normal</v>
      </c>
    </row>
    <row r="188" spans="1:12" x14ac:dyDescent="0.25">
      <c r="A188">
        <v>45</v>
      </c>
      <c r="B188">
        <v>120</v>
      </c>
      <c r="C188">
        <v>95</v>
      </c>
      <c r="D188">
        <v>6.1</v>
      </c>
      <c r="E188">
        <v>98</v>
      </c>
      <c r="F188">
        <v>66</v>
      </c>
      <c r="G188" t="s">
        <v>8</v>
      </c>
      <c r="H188" s="1" t="str">
        <f t="shared" si="10"/>
        <v>40-50</v>
      </c>
      <c r="I188" s="1" t="str">
        <f t="shared" si="11"/>
        <v>High</v>
      </c>
      <c r="J188" s="1" t="str">
        <f t="shared" si="12"/>
        <v>Normal</v>
      </c>
      <c r="K188" s="1" t="str">
        <f t="shared" si="13"/>
        <v>Low</v>
      </c>
      <c r="L188" s="1" t="str">
        <f t="shared" si="14"/>
        <v>Normal</v>
      </c>
    </row>
    <row r="189" spans="1:12" x14ac:dyDescent="0.25">
      <c r="A189">
        <v>35</v>
      </c>
      <c r="B189">
        <v>100</v>
      </c>
      <c r="C189">
        <v>70</v>
      </c>
      <c r="D189">
        <v>6.1</v>
      </c>
      <c r="E189">
        <v>98</v>
      </c>
      <c r="F189">
        <v>66</v>
      </c>
      <c r="G189" t="s">
        <v>8</v>
      </c>
      <c r="H189" s="1" t="str">
        <f t="shared" si="10"/>
        <v>30-40</v>
      </c>
      <c r="I189" s="1" t="str">
        <f t="shared" si="11"/>
        <v>Normal</v>
      </c>
      <c r="J189" s="1" t="str">
        <f t="shared" si="12"/>
        <v>Normal</v>
      </c>
      <c r="K189" s="1" t="str">
        <f t="shared" si="13"/>
        <v>Low</v>
      </c>
      <c r="L189" s="1" t="str">
        <f t="shared" si="14"/>
        <v>Normal</v>
      </c>
    </row>
    <row r="190" spans="1:12" x14ac:dyDescent="0.25">
      <c r="A190">
        <v>22</v>
      </c>
      <c r="B190">
        <v>120</v>
      </c>
      <c r="C190">
        <v>85</v>
      </c>
      <c r="D190">
        <v>6.1</v>
      </c>
      <c r="E190">
        <v>98</v>
      </c>
      <c r="F190">
        <v>88</v>
      </c>
      <c r="G190" t="s">
        <v>8</v>
      </c>
      <c r="H190" s="1" t="str">
        <f t="shared" si="10"/>
        <v>20-30</v>
      </c>
      <c r="I190" s="1" t="str">
        <f t="shared" si="11"/>
        <v>Pre-High</v>
      </c>
      <c r="J190" s="1" t="str">
        <f t="shared" si="12"/>
        <v>Normal</v>
      </c>
      <c r="K190" s="1" t="str">
        <f t="shared" si="13"/>
        <v>High</v>
      </c>
      <c r="L190" s="1" t="str">
        <f t="shared" si="14"/>
        <v>Normal</v>
      </c>
    </row>
    <row r="191" spans="1:12" x14ac:dyDescent="0.25">
      <c r="A191">
        <v>13</v>
      </c>
      <c r="B191">
        <v>90</v>
      </c>
      <c r="C191">
        <v>65</v>
      </c>
      <c r="D191">
        <v>7.9</v>
      </c>
      <c r="E191">
        <v>101</v>
      </c>
      <c r="F191">
        <v>80</v>
      </c>
      <c r="G191" t="s">
        <v>9</v>
      </c>
      <c r="H191" s="1" t="str">
        <f t="shared" si="10"/>
        <v>10-20</v>
      </c>
      <c r="I191" s="1" t="str">
        <f t="shared" si="11"/>
        <v>Normal</v>
      </c>
      <c r="J191" s="1" t="str">
        <f t="shared" si="12"/>
        <v>Normal</v>
      </c>
      <c r="K191" s="1" t="str">
        <f t="shared" si="13"/>
        <v>Normal</v>
      </c>
      <c r="L191" s="1" t="str">
        <f t="shared" si="14"/>
        <v>High</v>
      </c>
    </row>
    <row r="192" spans="1:12" x14ac:dyDescent="0.25">
      <c r="A192">
        <v>23</v>
      </c>
      <c r="B192">
        <v>120</v>
      </c>
      <c r="C192">
        <v>90</v>
      </c>
      <c r="D192">
        <v>6.1</v>
      </c>
      <c r="E192">
        <v>98</v>
      </c>
      <c r="F192">
        <v>60</v>
      </c>
      <c r="G192" t="s">
        <v>8</v>
      </c>
      <c r="H192" s="1" t="str">
        <f t="shared" si="10"/>
        <v>20-30</v>
      </c>
      <c r="I192" s="1" t="str">
        <f t="shared" si="11"/>
        <v>High</v>
      </c>
      <c r="J192" s="1" t="str">
        <f t="shared" si="12"/>
        <v>Normal</v>
      </c>
      <c r="K192" s="1" t="str">
        <f t="shared" si="13"/>
        <v>Low</v>
      </c>
      <c r="L192" s="1" t="str">
        <f t="shared" si="14"/>
        <v>Normal</v>
      </c>
    </row>
    <row r="193" spans="1:12" x14ac:dyDescent="0.25">
      <c r="A193">
        <v>17</v>
      </c>
      <c r="B193">
        <v>90</v>
      </c>
      <c r="C193">
        <v>65</v>
      </c>
      <c r="D193">
        <v>6.1</v>
      </c>
      <c r="E193">
        <v>103</v>
      </c>
      <c r="F193">
        <v>67</v>
      </c>
      <c r="G193" t="s">
        <v>7</v>
      </c>
      <c r="H193" s="1" t="str">
        <f t="shared" si="10"/>
        <v>10-20</v>
      </c>
      <c r="I193" s="1" t="str">
        <f t="shared" si="11"/>
        <v>Normal</v>
      </c>
      <c r="J193" s="1" t="str">
        <f t="shared" si="12"/>
        <v>Normal</v>
      </c>
      <c r="K193" s="1" t="str">
        <f t="shared" si="13"/>
        <v>Low</v>
      </c>
      <c r="L193" s="1" t="str">
        <f t="shared" si="14"/>
        <v>High</v>
      </c>
    </row>
    <row r="194" spans="1:12" x14ac:dyDescent="0.25">
      <c r="A194">
        <v>28</v>
      </c>
      <c r="B194">
        <v>83</v>
      </c>
      <c r="C194">
        <v>60</v>
      </c>
      <c r="D194">
        <v>8</v>
      </c>
      <c r="E194">
        <v>101</v>
      </c>
      <c r="F194">
        <v>86</v>
      </c>
      <c r="G194" t="s">
        <v>7</v>
      </c>
      <c r="H194" s="1" t="str">
        <f t="shared" si="10"/>
        <v>20-30</v>
      </c>
      <c r="I194" s="1" t="str">
        <f t="shared" si="11"/>
        <v>Normal</v>
      </c>
      <c r="J194" s="1" t="str">
        <f t="shared" si="12"/>
        <v>Slightly High</v>
      </c>
      <c r="K194" s="1" t="str">
        <f t="shared" si="13"/>
        <v>High</v>
      </c>
      <c r="L194" s="1" t="str">
        <f t="shared" si="14"/>
        <v>High</v>
      </c>
    </row>
    <row r="195" spans="1:12" x14ac:dyDescent="0.25">
      <c r="A195">
        <v>50</v>
      </c>
      <c r="B195">
        <v>120</v>
      </c>
      <c r="C195">
        <v>80</v>
      </c>
      <c r="D195">
        <v>15</v>
      </c>
      <c r="E195">
        <v>98</v>
      </c>
      <c r="F195">
        <v>70</v>
      </c>
      <c r="G195" t="s">
        <v>7</v>
      </c>
      <c r="H195" s="1" t="str">
        <f t="shared" ref="H195:H258" si="15">IF(A195&lt;=20,"10-20",
 IF(A195&lt;=30,"20-30",
 IF(A195&lt;=40,"30-40",
 IF(A195&lt;=50,"40-50","50+"))))</f>
        <v>40-50</v>
      </c>
      <c r="I195" s="1" t="str">
        <f t="shared" ref="I195:I258" si="16">IF(AND(B195&lt;90,C195&lt;60),"Low BP",
 IF(AND(B195&lt;120,C195&lt;80),"Normal",
 IF(AND(B195&lt;140,C195&lt;90),"Pre-High",
 IF(AND(B195&lt;160,C195&lt;100),"High","Critical"))))</f>
        <v>Pre-High</v>
      </c>
      <c r="J195" s="1" t="str">
        <f t="shared" ref="J195:J258" si="17">IF(D195&lt;8,"Normal",
 IF(D195&lt;12,"Slightly High","High"))</f>
        <v>High</v>
      </c>
      <c r="K195" s="1" t="str">
        <f t="shared" ref="K195:K258" si="18">IF(F195&lt;70,"Low",
 IF(F195&lt;=85,"Normal","High"))</f>
        <v>Normal</v>
      </c>
      <c r="L195" s="1" t="str">
        <f t="shared" ref="L195:L258" si="19">IF(E195&lt;97.5,"Low",
 IF(E195&lt;=99,"Normal","High"))</f>
        <v>Normal</v>
      </c>
    </row>
    <row r="196" spans="1:12" x14ac:dyDescent="0.25">
      <c r="A196">
        <v>25</v>
      </c>
      <c r="B196">
        <v>90</v>
      </c>
      <c r="C196">
        <v>70</v>
      </c>
      <c r="D196">
        <v>6.1</v>
      </c>
      <c r="E196">
        <v>98</v>
      </c>
      <c r="F196">
        <v>80</v>
      </c>
      <c r="G196" t="s">
        <v>8</v>
      </c>
      <c r="H196" s="1" t="str">
        <f t="shared" si="15"/>
        <v>20-30</v>
      </c>
      <c r="I196" s="1" t="str">
        <f t="shared" si="16"/>
        <v>Normal</v>
      </c>
      <c r="J196" s="1" t="str">
        <f t="shared" si="17"/>
        <v>Normal</v>
      </c>
      <c r="K196" s="1" t="str">
        <f t="shared" si="18"/>
        <v>Normal</v>
      </c>
      <c r="L196" s="1" t="str">
        <f t="shared" si="19"/>
        <v>Normal</v>
      </c>
    </row>
    <row r="197" spans="1:12" x14ac:dyDescent="0.25">
      <c r="A197">
        <v>30</v>
      </c>
      <c r="B197">
        <v>120</v>
      </c>
      <c r="C197">
        <v>80</v>
      </c>
      <c r="D197">
        <v>6.1</v>
      </c>
      <c r="E197">
        <v>98</v>
      </c>
      <c r="F197">
        <v>70</v>
      </c>
      <c r="G197" t="s">
        <v>8</v>
      </c>
      <c r="H197" s="1" t="str">
        <f t="shared" si="15"/>
        <v>20-30</v>
      </c>
      <c r="I197" s="1" t="str">
        <f t="shared" si="16"/>
        <v>Pre-High</v>
      </c>
      <c r="J197" s="1" t="str">
        <f t="shared" si="17"/>
        <v>Normal</v>
      </c>
      <c r="K197" s="1" t="str">
        <f t="shared" si="18"/>
        <v>Normal</v>
      </c>
      <c r="L197" s="1" t="str">
        <f t="shared" si="19"/>
        <v>Normal</v>
      </c>
    </row>
    <row r="198" spans="1:12" x14ac:dyDescent="0.25">
      <c r="A198">
        <v>31</v>
      </c>
      <c r="B198">
        <v>120</v>
      </c>
      <c r="C198">
        <v>60</v>
      </c>
      <c r="D198">
        <v>6.1</v>
      </c>
      <c r="E198">
        <v>98</v>
      </c>
      <c r="F198">
        <v>76</v>
      </c>
      <c r="G198" t="s">
        <v>9</v>
      </c>
      <c r="H198" s="1" t="str">
        <f t="shared" si="15"/>
        <v>30-40</v>
      </c>
      <c r="I198" s="1" t="str">
        <f t="shared" si="16"/>
        <v>Pre-High</v>
      </c>
      <c r="J198" s="1" t="str">
        <f t="shared" si="17"/>
        <v>Normal</v>
      </c>
      <c r="K198" s="1" t="str">
        <f t="shared" si="18"/>
        <v>Normal</v>
      </c>
      <c r="L198" s="1" t="str">
        <f t="shared" si="19"/>
        <v>Normal</v>
      </c>
    </row>
    <row r="199" spans="1:12" x14ac:dyDescent="0.25">
      <c r="A199">
        <v>23</v>
      </c>
      <c r="B199">
        <v>120</v>
      </c>
      <c r="C199">
        <v>90</v>
      </c>
      <c r="D199">
        <v>6.1</v>
      </c>
      <c r="E199">
        <v>98</v>
      </c>
      <c r="F199">
        <v>70</v>
      </c>
      <c r="G199" t="s">
        <v>8</v>
      </c>
      <c r="H199" s="1" t="str">
        <f t="shared" si="15"/>
        <v>20-30</v>
      </c>
      <c r="I199" s="1" t="str">
        <f t="shared" si="16"/>
        <v>High</v>
      </c>
      <c r="J199" s="1" t="str">
        <f t="shared" si="17"/>
        <v>Normal</v>
      </c>
      <c r="K199" s="1" t="str">
        <f t="shared" si="18"/>
        <v>Normal</v>
      </c>
      <c r="L199" s="1" t="str">
        <f t="shared" si="19"/>
        <v>Normal</v>
      </c>
    </row>
    <row r="200" spans="1:12" x14ac:dyDescent="0.25">
      <c r="A200">
        <v>29</v>
      </c>
      <c r="B200">
        <v>130</v>
      </c>
      <c r="C200">
        <v>70</v>
      </c>
      <c r="D200">
        <v>6.1</v>
      </c>
      <c r="E200">
        <v>98</v>
      </c>
      <c r="F200">
        <v>78</v>
      </c>
      <c r="G200" t="s">
        <v>9</v>
      </c>
      <c r="H200" s="1" t="str">
        <f t="shared" si="15"/>
        <v>20-30</v>
      </c>
      <c r="I200" s="1" t="str">
        <f t="shared" si="16"/>
        <v>Pre-High</v>
      </c>
      <c r="J200" s="1" t="str">
        <f t="shared" si="17"/>
        <v>Normal</v>
      </c>
      <c r="K200" s="1" t="str">
        <f t="shared" si="18"/>
        <v>Normal</v>
      </c>
      <c r="L200" s="1" t="str">
        <f t="shared" si="19"/>
        <v>Normal</v>
      </c>
    </row>
    <row r="201" spans="1:12" x14ac:dyDescent="0.25">
      <c r="A201">
        <v>17</v>
      </c>
      <c r="B201">
        <v>85</v>
      </c>
      <c r="C201">
        <v>60</v>
      </c>
      <c r="D201">
        <v>9</v>
      </c>
      <c r="E201">
        <v>102</v>
      </c>
      <c r="F201">
        <v>86</v>
      </c>
      <c r="G201" t="s">
        <v>7</v>
      </c>
      <c r="H201" s="1" t="str">
        <f t="shared" si="15"/>
        <v>10-20</v>
      </c>
      <c r="I201" s="1" t="str">
        <f t="shared" si="16"/>
        <v>Normal</v>
      </c>
      <c r="J201" s="1" t="str">
        <f t="shared" si="17"/>
        <v>Slightly High</v>
      </c>
      <c r="K201" s="1" t="str">
        <f t="shared" si="18"/>
        <v>High</v>
      </c>
      <c r="L201" s="1" t="str">
        <f t="shared" si="19"/>
        <v>High</v>
      </c>
    </row>
    <row r="202" spans="1:12" x14ac:dyDescent="0.25">
      <c r="A202">
        <v>32</v>
      </c>
      <c r="B202">
        <v>120</v>
      </c>
      <c r="C202">
        <v>90</v>
      </c>
      <c r="D202">
        <v>7.5</v>
      </c>
      <c r="E202">
        <v>98</v>
      </c>
      <c r="F202">
        <v>70</v>
      </c>
      <c r="G202" t="s">
        <v>8</v>
      </c>
      <c r="H202" s="1" t="str">
        <f t="shared" si="15"/>
        <v>30-40</v>
      </c>
      <c r="I202" s="1" t="str">
        <f t="shared" si="16"/>
        <v>High</v>
      </c>
      <c r="J202" s="1" t="str">
        <f t="shared" si="17"/>
        <v>Normal</v>
      </c>
      <c r="K202" s="1" t="str">
        <f t="shared" si="18"/>
        <v>Normal</v>
      </c>
      <c r="L202" s="1" t="str">
        <f t="shared" si="19"/>
        <v>Normal</v>
      </c>
    </row>
    <row r="203" spans="1:12" x14ac:dyDescent="0.25">
      <c r="A203">
        <v>42</v>
      </c>
      <c r="B203">
        <v>120</v>
      </c>
      <c r="C203">
        <v>80</v>
      </c>
      <c r="D203">
        <v>7.5</v>
      </c>
      <c r="E203">
        <v>98</v>
      </c>
      <c r="F203">
        <v>70</v>
      </c>
      <c r="G203" t="s">
        <v>8</v>
      </c>
      <c r="H203" s="1" t="str">
        <f t="shared" si="15"/>
        <v>40-50</v>
      </c>
      <c r="I203" s="1" t="str">
        <f t="shared" si="16"/>
        <v>Pre-High</v>
      </c>
      <c r="J203" s="1" t="str">
        <f t="shared" si="17"/>
        <v>Normal</v>
      </c>
      <c r="K203" s="1" t="str">
        <f t="shared" si="18"/>
        <v>Normal</v>
      </c>
      <c r="L203" s="1" t="str">
        <f t="shared" si="19"/>
        <v>Normal</v>
      </c>
    </row>
    <row r="204" spans="1:12" x14ac:dyDescent="0.25">
      <c r="A204">
        <v>23</v>
      </c>
      <c r="B204">
        <v>90</v>
      </c>
      <c r="C204">
        <v>60</v>
      </c>
      <c r="D204">
        <v>7.5</v>
      </c>
      <c r="E204">
        <v>98</v>
      </c>
      <c r="F204">
        <v>76</v>
      </c>
      <c r="G204" t="s">
        <v>8</v>
      </c>
      <c r="H204" s="1" t="str">
        <f t="shared" si="15"/>
        <v>20-30</v>
      </c>
      <c r="I204" s="1" t="str">
        <f t="shared" si="16"/>
        <v>Normal</v>
      </c>
      <c r="J204" s="1" t="str">
        <f t="shared" si="17"/>
        <v>Normal</v>
      </c>
      <c r="K204" s="1" t="str">
        <f t="shared" si="18"/>
        <v>Normal</v>
      </c>
      <c r="L204" s="1" t="str">
        <f t="shared" si="19"/>
        <v>Normal</v>
      </c>
    </row>
    <row r="205" spans="1:12" x14ac:dyDescent="0.25">
      <c r="A205">
        <v>19</v>
      </c>
      <c r="B205">
        <v>120</v>
      </c>
      <c r="C205">
        <v>80</v>
      </c>
      <c r="D205">
        <v>7</v>
      </c>
      <c r="E205">
        <v>98</v>
      </c>
      <c r="F205">
        <v>70</v>
      </c>
      <c r="G205" t="s">
        <v>9</v>
      </c>
      <c r="H205" s="1" t="str">
        <f t="shared" si="15"/>
        <v>10-20</v>
      </c>
      <c r="I205" s="1" t="str">
        <f t="shared" si="16"/>
        <v>Pre-High</v>
      </c>
      <c r="J205" s="1" t="str">
        <f t="shared" si="17"/>
        <v>Normal</v>
      </c>
      <c r="K205" s="1" t="str">
        <f t="shared" si="18"/>
        <v>Normal</v>
      </c>
      <c r="L205" s="1" t="str">
        <f t="shared" si="19"/>
        <v>Normal</v>
      </c>
    </row>
    <row r="206" spans="1:12" x14ac:dyDescent="0.25">
      <c r="A206">
        <v>15</v>
      </c>
      <c r="B206">
        <v>76</v>
      </c>
      <c r="C206">
        <v>49</v>
      </c>
      <c r="D206">
        <v>7.5</v>
      </c>
      <c r="E206">
        <v>98</v>
      </c>
      <c r="F206">
        <v>77</v>
      </c>
      <c r="G206" t="s">
        <v>8</v>
      </c>
      <c r="H206" s="1" t="str">
        <f t="shared" si="15"/>
        <v>10-20</v>
      </c>
      <c r="I206" s="1" t="str">
        <f t="shared" si="16"/>
        <v>Low BP</v>
      </c>
      <c r="J206" s="1" t="str">
        <f t="shared" si="17"/>
        <v>Normal</v>
      </c>
      <c r="K206" s="1" t="str">
        <f t="shared" si="18"/>
        <v>Normal</v>
      </c>
      <c r="L206" s="1" t="str">
        <f t="shared" si="19"/>
        <v>Normal</v>
      </c>
    </row>
    <row r="207" spans="1:12" x14ac:dyDescent="0.25">
      <c r="A207">
        <v>33</v>
      </c>
      <c r="B207">
        <v>120</v>
      </c>
      <c r="C207">
        <v>75</v>
      </c>
      <c r="D207">
        <v>10</v>
      </c>
      <c r="E207">
        <v>98</v>
      </c>
      <c r="F207">
        <v>70</v>
      </c>
      <c r="G207" t="s">
        <v>7</v>
      </c>
      <c r="H207" s="1" t="str">
        <f t="shared" si="15"/>
        <v>30-40</v>
      </c>
      <c r="I207" s="1" t="str">
        <f t="shared" si="16"/>
        <v>Pre-High</v>
      </c>
      <c r="J207" s="1" t="str">
        <f t="shared" si="17"/>
        <v>Slightly High</v>
      </c>
      <c r="K207" s="1" t="str">
        <f t="shared" si="18"/>
        <v>Normal</v>
      </c>
      <c r="L207" s="1" t="str">
        <f t="shared" si="19"/>
        <v>Normal</v>
      </c>
    </row>
    <row r="208" spans="1:12" x14ac:dyDescent="0.25">
      <c r="A208">
        <v>48</v>
      </c>
      <c r="B208">
        <v>120</v>
      </c>
      <c r="C208">
        <v>80</v>
      </c>
      <c r="D208">
        <v>11</v>
      </c>
      <c r="E208">
        <v>98</v>
      </c>
      <c r="F208">
        <v>88</v>
      </c>
      <c r="G208" t="s">
        <v>7</v>
      </c>
      <c r="H208" s="1" t="str">
        <f t="shared" si="15"/>
        <v>40-50</v>
      </c>
      <c r="I208" s="1" t="str">
        <f t="shared" si="16"/>
        <v>Pre-High</v>
      </c>
      <c r="J208" s="1" t="str">
        <f t="shared" si="17"/>
        <v>Slightly High</v>
      </c>
      <c r="K208" s="1" t="str">
        <f t="shared" si="18"/>
        <v>High</v>
      </c>
      <c r="L208" s="1" t="str">
        <f t="shared" si="19"/>
        <v>Normal</v>
      </c>
    </row>
    <row r="209" spans="1:12" x14ac:dyDescent="0.25">
      <c r="A209">
        <v>15</v>
      </c>
      <c r="B209">
        <v>120</v>
      </c>
      <c r="C209">
        <v>80</v>
      </c>
      <c r="D209">
        <v>7</v>
      </c>
      <c r="E209">
        <v>98</v>
      </c>
      <c r="F209">
        <v>70</v>
      </c>
      <c r="G209" t="s">
        <v>8</v>
      </c>
      <c r="H209" s="1" t="str">
        <f t="shared" si="15"/>
        <v>10-20</v>
      </c>
      <c r="I209" s="1" t="str">
        <f t="shared" si="16"/>
        <v>Pre-High</v>
      </c>
      <c r="J209" s="1" t="str">
        <f t="shared" si="17"/>
        <v>Normal</v>
      </c>
      <c r="K209" s="1" t="str">
        <f t="shared" si="18"/>
        <v>Normal</v>
      </c>
      <c r="L209" s="1" t="str">
        <f t="shared" si="19"/>
        <v>Normal</v>
      </c>
    </row>
    <row r="210" spans="1:12" x14ac:dyDescent="0.25">
      <c r="A210">
        <v>25</v>
      </c>
      <c r="B210">
        <v>120</v>
      </c>
      <c r="C210">
        <v>80</v>
      </c>
      <c r="D210">
        <v>7</v>
      </c>
      <c r="E210">
        <v>98</v>
      </c>
      <c r="F210">
        <v>66</v>
      </c>
      <c r="G210" t="s">
        <v>8</v>
      </c>
      <c r="H210" s="1" t="str">
        <f t="shared" si="15"/>
        <v>20-30</v>
      </c>
      <c r="I210" s="1" t="str">
        <f t="shared" si="16"/>
        <v>Pre-High</v>
      </c>
      <c r="J210" s="1" t="str">
        <f t="shared" si="17"/>
        <v>Normal</v>
      </c>
      <c r="K210" s="1" t="str">
        <f t="shared" si="18"/>
        <v>Low</v>
      </c>
      <c r="L210" s="1" t="str">
        <f t="shared" si="19"/>
        <v>Normal</v>
      </c>
    </row>
    <row r="211" spans="1:12" x14ac:dyDescent="0.25">
      <c r="A211">
        <v>22</v>
      </c>
      <c r="B211">
        <v>100</v>
      </c>
      <c r="C211">
        <v>65</v>
      </c>
      <c r="D211">
        <v>7</v>
      </c>
      <c r="E211">
        <v>98</v>
      </c>
      <c r="F211">
        <v>80</v>
      </c>
      <c r="G211" t="s">
        <v>8</v>
      </c>
      <c r="H211" s="1" t="str">
        <f t="shared" si="15"/>
        <v>20-30</v>
      </c>
      <c r="I211" s="1" t="str">
        <f t="shared" si="16"/>
        <v>Normal</v>
      </c>
      <c r="J211" s="1" t="str">
        <f t="shared" si="17"/>
        <v>Normal</v>
      </c>
      <c r="K211" s="1" t="str">
        <f t="shared" si="18"/>
        <v>Normal</v>
      </c>
      <c r="L211" s="1" t="str">
        <f t="shared" si="19"/>
        <v>Normal</v>
      </c>
    </row>
    <row r="212" spans="1:12" x14ac:dyDescent="0.25">
      <c r="A212">
        <v>50</v>
      </c>
      <c r="B212">
        <v>140</v>
      </c>
      <c r="C212">
        <v>95</v>
      </c>
      <c r="D212">
        <v>17</v>
      </c>
      <c r="E212">
        <v>98</v>
      </c>
      <c r="F212">
        <v>60</v>
      </c>
      <c r="G212" t="s">
        <v>7</v>
      </c>
      <c r="H212" s="1" t="str">
        <f t="shared" si="15"/>
        <v>40-50</v>
      </c>
      <c r="I212" s="1" t="str">
        <f t="shared" si="16"/>
        <v>High</v>
      </c>
      <c r="J212" s="1" t="str">
        <f t="shared" si="17"/>
        <v>High</v>
      </c>
      <c r="K212" s="1" t="str">
        <f t="shared" si="18"/>
        <v>Low</v>
      </c>
      <c r="L212" s="1" t="str">
        <f t="shared" si="19"/>
        <v>Normal</v>
      </c>
    </row>
    <row r="213" spans="1:12" x14ac:dyDescent="0.25">
      <c r="A213">
        <v>35</v>
      </c>
      <c r="B213">
        <v>100</v>
      </c>
      <c r="C213">
        <v>70</v>
      </c>
      <c r="D213">
        <v>7</v>
      </c>
      <c r="E213">
        <v>98</v>
      </c>
      <c r="F213">
        <v>60</v>
      </c>
      <c r="G213" t="s">
        <v>8</v>
      </c>
      <c r="H213" s="1" t="str">
        <f t="shared" si="15"/>
        <v>30-40</v>
      </c>
      <c r="I213" s="1" t="str">
        <f t="shared" si="16"/>
        <v>Normal</v>
      </c>
      <c r="J213" s="1" t="str">
        <f t="shared" si="17"/>
        <v>Normal</v>
      </c>
      <c r="K213" s="1" t="str">
        <f t="shared" si="18"/>
        <v>Low</v>
      </c>
      <c r="L213" s="1" t="str">
        <f t="shared" si="19"/>
        <v>Normal</v>
      </c>
    </row>
    <row r="214" spans="1:12" x14ac:dyDescent="0.25">
      <c r="A214">
        <v>19</v>
      </c>
      <c r="B214">
        <v>120</v>
      </c>
      <c r="C214">
        <v>85</v>
      </c>
      <c r="D214">
        <v>7</v>
      </c>
      <c r="E214">
        <v>98</v>
      </c>
      <c r="F214">
        <v>60</v>
      </c>
      <c r="G214" t="s">
        <v>8</v>
      </c>
      <c r="H214" s="1" t="str">
        <f t="shared" si="15"/>
        <v>10-20</v>
      </c>
      <c r="I214" s="1" t="str">
        <f t="shared" si="16"/>
        <v>Pre-High</v>
      </c>
      <c r="J214" s="1" t="str">
        <f t="shared" si="17"/>
        <v>Normal</v>
      </c>
      <c r="K214" s="1" t="str">
        <f t="shared" si="18"/>
        <v>Low</v>
      </c>
      <c r="L214" s="1" t="str">
        <f t="shared" si="19"/>
        <v>Normal</v>
      </c>
    </row>
    <row r="215" spans="1:12" x14ac:dyDescent="0.25">
      <c r="A215">
        <v>60</v>
      </c>
      <c r="B215">
        <v>90</v>
      </c>
      <c r="C215">
        <v>65</v>
      </c>
      <c r="D215">
        <v>7</v>
      </c>
      <c r="E215">
        <v>98</v>
      </c>
      <c r="F215">
        <v>77</v>
      </c>
      <c r="G215" t="s">
        <v>8</v>
      </c>
      <c r="H215" s="1" t="str">
        <f t="shared" si="15"/>
        <v>50+</v>
      </c>
      <c r="I215" s="1" t="str">
        <f t="shared" si="16"/>
        <v>Normal</v>
      </c>
      <c r="J215" s="1" t="str">
        <f t="shared" si="17"/>
        <v>Normal</v>
      </c>
      <c r="K215" s="1" t="str">
        <f t="shared" si="18"/>
        <v>Normal</v>
      </c>
      <c r="L215" s="1" t="str">
        <f t="shared" si="19"/>
        <v>Normal</v>
      </c>
    </row>
    <row r="216" spans="1:12" x14ac:dyDescent="0.25">
      <c r="A216">
        <v>28</v>
      </c>
      <c r="B216">
        <v>85</v>
      </c>
      <c r="C216">
        <v>60</v>
      </c>
      <c r="D216">
        <v>9</v>
      </c>
      <c r="E216">
        <v>101</v>
      </c>
      <c r="F216">
        <v>86</v>
      </c>
      <c r="G216" t="s">
        <v>9</v>
      </c>
      <c r="H216" s="1" t="str">
        <f t="shared" si="15"/>
        <v>20-30</v>
      </c>
      <c r="I216" s="1" t="str">
        <f t="shared" si="16"/>
        <v>Normal</v>
      </c>
      <c r="J216" s="1" t="str">
        <f t="shared" si="17"/>
        <v>Slightly High</v>
      </c>
      <c r="K216" s="1" t="str">
        <f t="shared" si="18"/>
        <v>High</v>
      </c>
      <c r="L216" s="1" t="str">
        <f t="shared" si="19"/>
        <v>High</v>
      </c>
    </row>
    <row r="217" spans="1:12" x14ac:dyDescent="0.25">
      <c r="A217">
        <v>50</v>
      </c>
      <c r="B217">
        <v>140</v>
      </c>
      <c r="C217">
        <v>80</v>
      </c>
      <c r="D217">
        <v>6.7</v>
      </c>
      <c r="E217">
        <v>98</v>
      </c>
      <c r="F217">
        <v>70</v>
      </c>
      <c r="G217" t="s">
        <v>9</v>
      </c>
      <c r="H217" s="1" t="str">
        <f t="shared" si="15"/>
        <v>40-50</v>
      </c>
      <c r="I217" s="1" t="str">
        <f t="shared" si="16"/>
        <v>High</v>
      </c>
      <c r="J217" s="1" t="str">
        <f t="shared" si="17"/>
        <v>Normal</v>
      </c>
      <c r="K217" s="1" t="str">
        <f t="shared" si="18"/>
        <v>Normal</v>
      </c>
      <c r="L217" s="1" t="str">
        <f t="shared" si="19"/>
        <v>Normal</v>
      </c>
    </row>
    <row r="218" spans="1:12" x14ac:dyDescent="0.25">
      <c r="A218">
        <v>29</v>
      </c>
      <c r="B218">
        <v>90</v>
      </c>
      <c r="C218">
        <v>70</v>
      </c>
      <c r="D218">
        <v>6.7</v>
      </c>
      <c r="E218">
        <v>98</v>
      </c>
      <c r="F218">
        <v>80</v>
      </c>
      <c r="G218" t="s">
        <v>9</v>
      </c>
      <c r="H218" s="1" t="str">
        <f t="shared" si="15"/>
        <v>20-30</v>
      </c>
      <c r="I218" s="1" t="str">
        <f t="shared" si="16"/>
        <v>Normal</v>
      </c>
      <c r="J218" s="1" t="str">
        <f t="shared" si="17"/>
        <v>Normal</v>
      </c>
      <c r="K218" s="1" t="str">
        <f t="shared" si="18"/>
        <v>Normal</v>
      </c>
      <c r="L218" s="1" t="str">
        <f t="shared" si="19"/>
        <v>Normal</v>
      </c>
    </row>
    <row r="219" spans="1:12" x14ac:dyDescent="0.25">
      <c r="A219">
        <v>30</v>
      </c>
      <c r="B219">
        <v>140</v>
      </c>
      <c r="C219">
        <v>100</v>
      </c>
      <c r="D219">
        <v>15</v>
      </c>
      <c r="E219">
        <v>98</v>
      </c>
      <c r="F219">
        <v>70</v>
      </c>
      <c r="G219" t="s">
        <v>7</v>
      </c>
      <c r="H219" s="1" t="str">
        <f t="shared" si="15"/>
        <v>20-30</v>
      </c>
      <c r="I219" s="1" t="str">
        <f t="shared" si="16"/>
        <v>Critical</v>
      </c>
      <c r="J219" s="1" t="str">
        <f t="shared" si="17"/>
        <v>High</v>
      </c>
      <c r="K219" s="1" t="str">
        <f t="shared" si="18"/>
        <v>Normal</v>
      </c>
      <c r="L219" s="1" t="str">
        <f t="shared" si="19"/>
        <v>Normal</v>
      </c>
    </row>
    <row r="220" spans="1:12" x14ac:dyDescent="0.25">
      <c r="A220">
        <v>31</v>
      </c>
      <c r="B220">
        <v>120</v>
      </c>
      <c r="C220">
        <v>60</v>
      </c>
      <c r="D220">
        <v>6.1</v>
      </c>
      <c r="E220">
        <v>98</v>
      </c>
      <c r="F220">
        <v>76</v>
      </c>
      <c r="G220" t="s">
        <v>9</v>
      </c>
      <c r="H220" s="1" t="str">
        <f t="shared" si="15"/>
        <v>30-40</v>
      </c>
      <c r="I220" s="1" t="str">
        <f t="shared" si="16"/>
        <v>Pre-High</v>
      </c>
      <c r="J220" s="1" t="str">
        <f t="shared" si="17"/>
        <v>Normal</v>
      </c>
      <c r="K220" s="1" t="str">
        <f t="shared" si="18"/>
        <v>Normal</v>
      </c>
      <c r="L220" s="1" t="str">
        <f t="shared" si="19"/>
        <v>Normal</v>
      </c>
    </row>
    <row r="221" spans="1:12" x14ac:dyDescent="0.25">
      <c r="A221">
        <v>23</v>
      </c>
      <c r="B221">
        <v>120</v>
      </c>
      <c r="C221">
        <v>90</v>
      </c>
      <c r="D221">
        <v>6.7</v>
      </c>
      <c r="E221">
        <v>98</v>
      </c>
      <c r="F221">
        <v>70</v>
      </c>
      <c r="G221" t="s">
        <v>8</v>
      </c>
      <c r="H221" s="1" t="str">
        <f t="shared" si="15"/>
        <v>20-30</v>
      </c>
      <c r="I221" s="1" t="str">
        <f t="shared" si="16"/>
        <v>High</v>
      </c>
      <c r="J221" s="1" t="str">
        <f t="shared" si="17"/>
        <v>Normal</v>
      </c>
      <c r="K221" s="1" t="str">
        <f t="shared" si="18"/>
        <v>Normal</v>
      </c>
      <c r="L221" s="1" t="str">
        <f t="shared" si="19"/>
        <v>Normal</v>
      </c>
    </row>
    <row r="222" spans="1:12" x14ac:dyDescent="0.25">
      <c r="A222">
        <v>29</v>
      </c>
      <c r="B222">
        <v>130</v>
      </c>
      <c r="C222">
        <v>70</v>
      </c>
      <c r="D222">
        <v>6.7</v>
      </c>
      <c r="E222">
        <v>98</v>
      </c>
      <c r="F222">
        <v>78</v>
      </c>
      <c r="G222" t="s">
        <v>9</v>
      </c>
      <c r="H222" s="1" t="str">
        <f t="shared" si="15"/>
        <v>20-30</v>
      </c>
      <c r="I222" s="1" t="str">
        <f t="shared" si="16"/>
        <v>Pre-High</v>
      </c>
      <c r="J222" s="1" t="str">
        <f t="shared" si="17"/>
        <v>Normal</v>
      </c>
      <c r="K222" s="1" t="str">
        <f t="shared" si="18"/>
        <v>Normal</v>
      </c>
      <c r="L222" s="1" t="str">
        <f t="shared" si="19"/>
        <v>Normal</v>
      </c>
    </row>
    <row r="223" spans="1:12" x14ac:dyDescent="0.25">
      <c r="A223">
        <v>17</v>
      </c>
      <c r="B223">
        <v>85</v>
      </c>
      <c r="C223">
        <v>60</v>
      </c>
      <c r="D223">
        <v>9</v>
      </c>
      <c r="E223">
        <v>102</v>
      </c>
      <c r="F223">
        <v>86</v>
      </c>
      <c r="G223" t="s">
        <v>9</v>
      </c>
      <c r="H223" s="1" t="str">
        <f t="shared" si="15"/>
        <v>10-20</v>
      </c>
      <c r="I223" s="1" t="str">
        <f t="shared" si="16"/>
        <v>Normal</v>
      </c>
      <c r="J223" s="1" t="str">
        <f t="shared" si="17"/>
        <v>Slightly High</v>
      </c>
      <c r="K223" s="1" t="str">
        <f t="shared" si="18"/>
        <v>High</v>
      </c>
      <c r="L223" s="1" t="str">
        <f t="shared" si="19"/>
        <v>High</v>
      </c>
    </row>
    <row r="224" spans="1:12" x14ac:dyDescent="0.25">
      <c r="A224">
        <v>32</v>
      </c>
      <c r="B224">
        <v>120</v>
      </c>
      <c r="C224">
        <v>90</v>
      </c>
      <c r="D224">
        <v>6.4</v>
      </c>
      <c r="E224">
        <v>98</v>
      </c>
      <c r="F224">
        <v>70</v>
      </c>
      <c r="G224" t="s">
        <v>8</v>
      </c>
      <c r="H224" s="1" t="str">
        <f t="shared" si="15"/>
        <v>30-40</v>
      </c>
      <c r="I224" s="1" t="str">
        <f t="shared" si="16"/>
        <v>High</v>
      </c>
      <c r="J224" s="1" t="str">
        <f t="shared" si="17"/>
        <v>Normal</v>
      </c>
      <c r="K224" s="1" t="str">
        <f t="shared" si="18"/>
        <v>Normal</v>
      </c>
      <c r="L224" s="1" t="str">
        <f t="shared" si="19"/>
        <v>Normal</v>
      </c>
    </row>
    <row r="225" spans="1:12" x14ac:dyDescent="0.25">
      <c r="A225">
        <v>42</v>
      </c>
      <c r="B225">
        <v>120</v>
      </c>
      <c r="C225">
        <v>80</v>
      </c>
      <c r="D225">
        <v>6.4</v>
      </c>
      <c r="E225">
        <v>98</v>
      </c>
      <c r="F225">
        <v>70</v>
      </c>
      <c r="G225" t="s">
        <v>8</v>
      </c>
      <c r="H225" s="1" t="str">
        <f t="shared" si="15"/>
        <v>40-50</v>
      </c>
      <c r="I225" s="1" t="str">
        <f t="shared" si="16"/>
        <v>Pre-High</v>
      </c>
      <c r="J225" s="1" t="str">
        <f t="shared" si="17"/>
        <v>Normal</v>
      </c>
      <c r="K225" s="1" t="str">
        <f t="shared" si="18"/>
        <v>Normal</v>
      </c>
      <c r="L225" s="1" t="str">
        <f t="shared" si="19"/>
        <v>Normal</v>
      </c>
    </row>
    <row r="226" spans="1:12" x14ac:dyDescent="0.25">
      <c r="A226">
        <v>23</v>
      </c>
      <c r="B226">
        <v>90</v>
      </c>
      <c r="C226">
        <v>60</v>
      </c>
      <c r="D226">
        <v>6.4</v>
      </c>
      <c r="E226">
        <v>98</v>
      </c>
      <c r="F226">
        <v>76</v>
      </c>
      <c r="G226" t="s">
        <v>8</v>
      </c>
      <c r="H226" s="1" t="str">
        <f t="shared" si="15"/>
        <v>20-30</v>
      </c>
      <c r="I226" s="1" t="str">
        <f t="shared" si="16"/>
        <v>Normal</v>
      </c>
      <c r="J226" s="1" t="str">
        <f t="shared" si="17"/>
        <v>Normal</v>
      </c>
      <c r="K226" s="1" t="str">
        <f t="shared" si="18"/>
        <v>Normal</v>
      </c>
      <c r="L226" s="1" t="str">
        <f t="shared" si="19"/>
        <v>Normal</v>
      </c>
    </row>
    <row r="227" spans="1:12" x14ac:dyDescent="0.25">
      <c r="A227">
        <v>19</v>
      </c>
      <c r="B227">
        <v>120</v>
      </c>
      <c r="C227">
        <v>80</v>
      </c>
      <c r="D227">
        <v>7</v>
      </c>
      <c r="E227">
        <v>98</v>
      </c>
      <c r="F227">
        <v>70</v>
      </c>
      <c r="G227" t="s">
        <v>9</v>
      </c>
      <c r="H227" s="1" t="str">
        <f t="shared" si="15"/>
        <v>10-20</v>
      </c>
      <c r="I227" s="1" t="str">
        <f t="shared" si="16"/>
        <v>Pre-High</v>
      </c>
      <c r="J227" s="1" t="str">
        <f t="shared" si="17"/>
        <v>Normal</v>
      </c>
      <c r="K227" s="1" t="str">
        <f t="shared" si="18"/>
        <v>Normal</v>
      </c>
      <c r="L227" s="1" t="str">
        <f t="shared" si="19"/>
        <v>Normal</v>
      </c>
    </row>
    <row r="228" spans="1:12" x14ac:dyDescent="0.25">
      <c r="A228">
        <v>15</v>
      </c>
      <c r="B228">
        <v>76</v>
      </c>
      <c r="C228">
        <v>49</v>
      </c>
      <c r="D228">
        <v>6.4</v>
      </c>
      <c r="E228">
        <v>98</v>
      </c>
      <c r="F228">
        <v>77</v>
      </c>
      <c r="G228" t="s">
        <v>8</v>
      </c>
      <c r="H228" s="1" t="str">
        <f t="shared" si="15"/>
        <v>10-20</v>
      </c>
      <c r="I228" s="1" t="str">
        <f t="shared" si="16"/>
        <v>Low BP</v>
      </c>
      <c r="J228" s="1" t="str">
        <f t="shared" si="17"/>
        <v>Normal</v>
      </c>
      <c r="K228" s="1" t="str">
        <f t="shared" si="18"/>
        <v>Normal</v>
      </c>
      <c r="L228" s="1" t="str">
        <f t="shared" si="19"/>
        <v>Normal</v>
      </c>
    </row>
    <row r="229" spans="1:12" x14ac:dyDescent="0.25">
      <c r="A229">
        <v>29</v>
      </c>
      <c r="B229">
        <v>120</v>
      </c>
      <c r="C229">
        <v>75</v>
      </c>
      <c r="D229">
        <v>7.2</v>
      </c>
      <c r="E229">
        <v>100</v>
      </c>
      <c r="F229">
        <v>70</v>
      </c>
      <c r="G229" t="s">
        <v>7</v>
      </c>
      <c r="H229" s="1" t="str">
        <f t="shared" si="15"/>
        <v>20-30</v>
      </c>
      <c r="I229" s="1" t="str">
        <f t="shared" si="16"/>
        <v>Pre-High</v>
      </c>
      <c r="J229" s="1" t="str">
        <f t="shared" si="17"/>
        <v>Normal</v>
      </c>
      <c r="K229" s="1" t="str">
        <f t="shared" si="18"/>
        <v>Normal</v>
      </c>
      <c r="L229" s="1" t="str">
        <f t="shared" si="19"/>
        <v>High</v>
      </c>
    </row>
    <row r="230" spans="1:12" x14ac:dyDescent="0.25">
      <c r="A230">
        <v>48</v>
      </c>
      <c r="B230">
        <v>120</v>
      </c>
      <c r="C230">
        <v>80</v>
      </c>
      <c r="D230">
        <v>11</v>
      </c>
      <c r="E230">
        <v>98</v>
      </c>
      <c r="F230">
        <v>88</v>
      </c>
      <c r="G230" t="s">
        <v>7</v>
      </c>
      <c r="H230" s="1" t="str">
        <f t="shared" si="15"/>
        <v>40-50</v>
      </c>
      <c r="I230" s="1" t="str">
        <f t="shared" si="16"/>
        <v>Pre-High</v>
      </c>
      <c r="J230" s="1" t="str">
        <f t="shared" si="17"/>
        <v>Slightly High</v>
      </c>
      <c r="K230" s="1" t="str">
        <f t="shared" si="18"/>
        <v>High</v>
      </c>
      <c r="L230" s="1" t="str">
        <f t="shared" si="19"/>
        <v>Normal</v>
      </c>
    </row>
    <row r="231" spans="1:12" x14ac:dyDescent="0.25">
      <c r="A231">
        <v>15</v>
      </c>
      <c r="B231">
        <v>120</v>
      </c>
      <c r="C231">
        <v>80</v>
      </c>
      <c r="D231">
        <v>7.2</v>
      </c>
      <c r="E231">
        <v>98</v>
      </c>
      <c r="F231">
        <v>70</v>
      </c>
      <c r="G231" t="s">
        <v>8</v>
      </c>
      <c r="H231" s="1" t="str">
        <f t="shared" si="15"/>
        <v>10-20</v>
      </c>
      <c r="I231" s="1" t="str">
        <f t="shared" si="16"/>
        <v>Pre-High</v>
      </c>
      <c r="J231" s="1" t="str">
        <f t="shared" si="17"/>
        <v>Normal</v>
      </c>
      <c r="K231" s="1" t="str">
        <f t="shared" si="18"/>
        <v>Normal</v>
      </c>
      <c r="L231" s="1" t="str">
        <f t="shared" si="19"/>
        <v>Normal</v>
      </c>
    </row>
    <row r="232" spans="1:12" x14ac:dyDescent="0.25">
      <c r="A232">
        <v>50</v>
      </c>
      <c r="B232">
        <v>140</v>
      </c>
      <c r="C232">
        <v>90</v>
      </c>
      <c r="D232">
        <v>15</v>
      </c>
      <c r="E232">
        <v>98</v>
      </c>
      <c r="F232">
        <v>77</v>
      </c>
      <c r="G232" t="s">
        <v>7</v>
      </c>
      <c r="H232" s="1" t="str">
        <f t="shared" si="15"/>
        <v>40-50</v>
      </c>
      <c r="I232" s="1" t="str">
        <f t="shared" si="16"/>
        <v>High</v>
      </c>
      <c r="J232" s="1" t="str">
        <f t="shared" si="17"/>
        <v>High</v>
      </c>
      <c r="K232" s="1" t="str">
        <f t="shared" si="18"/>
        <v>Normal</v>
      </c>
      <c r="L232" s="1" t="str">
        <f t="shared" si="19"/>
        <v>Normal</v>
      </c>
    </row>
    <row r="233" spans="1:12" x14ac:dyDescent="0.25">
      <c r="A233">
        <v>25</v>
      </c>
      <c r="B233">
        <v>140</v>
      </c>
      <c r="C233">
        <v>100</v>
      </c>
      <c r="D233">
        <v>7.2</v>
      </c>
      <c r="E233">
        <v>98</v>
      </c>
      <c r="F233">
        <v>80</v>
      </c>
      <c r="G233" t="s">
        <v>7</v>
      </c>
      <c r="H233" s="1" t="str">
        <f t="shared" si="15"/>
        <v>20-30</v>
      </c>
      <c r="I233" s="1" t="str">
        <f t="shared" si="16"/>
        <v>Critical</v>
      </c>
      <c r="J233" s="1" t="str">
        <f t="shared" si="17"/>
        <v>Normal</v>
      </c>
      <c r="K233" s="1" t="str">
        <f t="shared" si="18"/>
        <v>Normal</v>
      </c>
      <c r="L233" s="1" t="str">
        <f t="shared" si="19"/>
        <v>Normal</v>
      </c>
    </row>
    <row r="234" spans="1:12" x14ac:dyDescent="0.25">
      <c r="A234">
        <v>55</v>
      </c>
      <c r="B234">
        <v>140</v>
      </c>
      <c r="C234">
        <v>80</v>
      </c>
      <c r="D234">
        <v>7.2</v>
      </c>
      <c r="E234">
        <v>101</v>
      </c>
      <c r="F234">
        <v>76</v>
      </c>
      <c r="G234" t="s">
        <v>7</v>
      </c>
      <c r="H234" s="1" t="str">
        <f t="shared" si="15"/>
        <v>50+</v>
      </c>
      <c r="I234" s="1" t="str">
        <f t="shared" si="16"/>
        <v>High</v>
      </c>
      <c r="J234" s="1" t="str">
        <f t="shared" si="17"/>
        <v>Normal</v>
      </c>
      <c r="K234" s="1" t="str">
        <f t="shared" si="18"/>
        <v>Normal</v>
      </c>
      <c r="L234" s="1" t="str">
        <f t="shared" si="19"/>
        <v>High</v>
      </c>
    </row>
    <row r="235" spans="1:12" x14ac:dyDescent="0.25">
      <c r="A235">
        <v>20</v>
      </c>
      <c r="B235">
        <v>110</v>
      </c>
      <c r="C235">
        <v>60</v>
      </c>
      <c r="D235">
        <v>7</v>
      </c>
      <c r="E235">
        <v>100</v>
      </c>
      <c r="F235">
        <v>70</v>
      </c>
      <c r="G235" t="s">
        <v>9</v>
      </c>
      <c r="H235" s="1" t="str">
        <f t="shared" si="15"/>
        <v>10-20</v>
      </c>
      <c r="I235" s="1" t="str">
        <f t="shared" si="16"/>
        <v>Normal</v>
      </c>
      <c r="J235" s="1" t="str">
        <f t="shared" si="17"/>
        <v>Normal</v>
      </c>
      <c r="K235" s="1" t="str">
        <f t="shared" si="18"/>
        <v>Normal</v>
      </c>
      <c r="L235" s="1" t="str">
        <f t="shared" si="19"/>
        <v>High</v>
      </c>
    </row>
    <row r="236" spans="1:12" x14ac:dyDescent="0.25">
      <c r="A236">
        <v>40</v>
      </c>
      <c r="B236">
        <v>140</v>
      </c>
      <c r="C236">
        <v>100</v>
      </c>
      <c r="D236">
        <v>18</v>
      </c>
      <c r="E236">
        <v>98</v>
      </c>
      <c r="F236">
        <v>77</v>
      </c>
      <c r="G236" t="s">
        <v>7</v>
      </c>
      <c r="H236" s="1" t="str">
        <f t="shared" si="15"/>
        <v>30-40</v>
      </c>
      <c r="I236" s="1" t="str">
        <f t="shared" si="16"/>
        <v>Critical</v>
      </c>
      <c r="J236" s="1" t="str">
        <f t="shared" si="17"/>
        <v>High</v>
      </c>
      <c r="K236" s="1" t="str">
        <f t="shared" si="18"/>
        <v>Normal</v>
      </c>
      <c r="L236" s="1" t="str">
        <f t="shared" si="19"/>
        <v>Normal</v>
      </c>
    </row>
    <row r="237" spans="1:12" x14ac:dyDescent="0.25">
      <c r="A237">
        <v>28</v>
      </c>
      <c r="B237">
        <v>120</v>
      </c>
      <c r="C237">
        <v>80</v>
      </c>
      <c r="D237">
        <v>9</v>
      </c>
      <c r="E237">
        <v>102</v>
      </c>
      <c r="F237">
        <v>76</v>
      </c>
      <c r="G237" t="s">
        <v>7</v>
      </c>
      <c r="H237" s="1" t="str">
        <f t="shared" si="15"/>
        <v>20-30</v>
      </c>
      <c r="I237" s="1" t="str">
        <f t="shared" si="16"/>
        <v>Pre-High</v>
      </c>
      <c r="J237" s="1" t="str">
        <f t="shared" si="17"/>
        <v>Slightly High</v>
      </c>
      <c r="K237" s="1" t="str">
        <f t="shared" si="18"/>
        <v>Normal</v>
      </c>
      <c r="L237" s="1" t="str">
        <f t="shared" si="19"/>
        <v>High</v>
      </c>
    </row>
    <row r="238" spans="1:12" x14ac:dyDescent="0.25">
      <c r="A238">
        <v>32</v>
      </c>
      <c r="B238">
        <v>140</v>
      </c>
      <c r="C238">
        <v>100</v>
      </c>
      <c r="D238">
        <v>8</v>
      </c>
      <c r="E238">
        <v>98</v>
      </c>
      <c r="F238">
        <v>70</v>
      </c>
      <c r="G238" t="s">
        <v>7</v>
      </c>
      <c r="H238" s="1" t="str">
        <f t="shared" si="15"/>
        <v>30-40</v>
      </c>
      <c r="I238" s="1" t="str">
        <f t="shared" si="16"/>
        <v>Critical</v>
      </c>
      <c r="J238" s="1" t="str">
        <f t="shared" si="17"/>
        <v>Slightly High</v>
      </c>
      <c r="K238" s="1" t="str">
        <f t="shared" si="18"/>
        <v>Normal</v>
      </c>
      <c r="L238" s="1" t="str">
        <f t="shared" si="19"/>
        <v>Normal</v>
      </c>
    </row>
    <row r="239" spans="1:12" x14ac:dyDescent="0.25">
      <c r="A239">
        <v>17</v>
      </c>
      <c r="B239">
        <v>90</v>
      </c>
      <c r="C239">
        <v>60</v>
      </c>
      <c r="D239">
        <v>11</v>
      </c>
      <c r="E239">
        <v>101</v>
      </c>
      <c r="F239">
        <v>78</v>
      </c>
      <c r="G239" t="s">
        <v>7</v>
      </c>
      <c r="H239" s="1" t="str">
        <f t="shared" si="15"/>
        <v>10-20</v>
      </c>
      <c r="I239" s="1" t="str">
        <f t="shared" si="16"/>
        <v>Normal</v>
      </c>
      <c r="J239" s="1" t="str">
        <f t="shared" si="17"/>
        <v>Slightly High</v>
      </c>
      <c r="K239" s="1" t="str">
        <f t="shared" si="18"/>
        <v>Normal</v>
      </c>
      <c r="L239" s="1" t="str">
        <f t="shared" si="19"/>
        <v>High</v>
      </c>
    </row>
    <row r="240" spans="1:12" x14ac:dyDescent="0.25">
      <c r="A240">
        <v>17</v>
      </c>
      <c r="B240">
        <v>90</v>
      </c>
      <c r="C240">
        <v>63</v>
      </c>
      <c r="D240">
        <v>8</v>
      </c>
      <c r="E240">
        <v>101</v>
      </c>
      <c r="F240">
        <v>70</v>
      </c>
      <c r="G240" t="s">
        <v>7</v>
      </c>
      <c r="H240" s="1" t="str">
        <f t="shared" si="15"/>
        <v>10-20</v>
      </c>
      <c r="I240" s="1" t="str">
        <f t="shared" si="16"/>
        <v>Normal</v>
      </c>
      <c r="J240" s="1" t="str">
        <f t="shared" si="17"/>
        <v>Slightly High</v>
      </c>
      <c r="K240" s="1" t="str">
        <f t="shared" si="18"/>
        <v>Normal</v>
      </c>
      <c r="L240" s="1" t="str">
        <f t="shared" si="19"/>
        <v>High</v>
      </c>
    </row>
    <row r="241" spans="1:12" x14ac:dyDescent="0.25">
      <c r="A241">
        <v>25</v>
      </c>
      <c r="B241">
        <v>120</v>
      </c>
      <c r="C241">
        <v>90</v>
      </c>
      <c r="D241">
        <v>12</v>
      </c>
      <c r="E241">
        <v>101</v>
      </c>
      <c r="F241">
        <v>80</v>
      </c>
      <c r="G241" t="s">
        <v>7</v>
      </c>
      <c r="H241" s="1" t="str">
        <f t="shared" si="15"/>
        <v>20-30</v>
      </c>
      <c r="I241" s="1" t="str">
        <f t="shared" si="16"/>
        <v>High</v>
      </c>
      <c r="J241" s="1" t="str">
        <f t="shared" si="17"/>
        <v>High</v>
      </c>
      <c r="K241" s="1" t="str">
        <f t="shared" si="18"/>
        <v>Normal</v>
      </c>
      <c r="L241" s="1" t="str">
        <f t="shared" si="19"/>
        <v>High</v>
      </c>
    </row>
    <row r="242" spans="1:12" x14ac:dyDescent="0.25">
      <c r="A242">
        <v>17</v>
      </c>
      <c r="B242">
        <v>120</v>
      </c>
      <c r="C242">
        <v>80</v>
      </c>
      <c r="D242">
        <v>7</v>
      </c>
      <c r="E242">
        <v>102</v>
      </c>
      <c r="F242">
        <v>76</v>
      </c>
      <c r="G242" t="s">
        <v>7</v>
      </c>
      <c r="H242" s="1" t="str">
        <f t="shared" si="15"/>
        <v>10-20</v>
      </c>
      <c r="I242" s="1" t="str">
        <f t="shared" si="16"/>
        <v>Pre-High</v>
      </c>
      <c r="J242" s="1" t="str">
        <f t="shared" si="17"/>
        <v>Normal</v>
      </c>
      <c r="K242" s="1" t="str">
        <f t="shared" si="18"/>
        <v>Normal</v>
      </c>
      <c r="L242" s="1" t="str">
        <f t="shared" si="19"/>
        <v>High</v>
      </c>
    </row>
    <row r="243" spans="1:12" x14ac:dyDescent="0.25">
      <c r="A243">
        <v>19</v>
      </c>
      <c r="B243">
        <v>90</v>
      </c>
      <c r="C243">
        <v>65</v>
      </c>
      <c r="D243">
        <v>11</v>
      </c>
      <c r="E243">
        <v>101</v>
      </c>
      <c r="F243">
        <v>70</v>
      </c>
      <c r="G243" t="s">
        <v>7</v>
      </c>
      <c r="H243" s="1" t="str">
        <f t="shared" si="15"/>
        <v>10-20</v>
      </c>
      <c r="I243" s="1" t="str">
        <f t="shared" si="16"/>
        <v>Normal</v>
      </c>
      <c r="J243" s="1" t="str">
        <f t="shared" si="17"/>
        <v>Slightly High</v>
      </c>
      <c r="K243" s="1" t="str">
        <f t="shared" si="18"/>
        <v>Normal</v>
      </c>
      <c r="L243" s="1" t="str">
        <f t="shared" si="19"/>
        <v>High</v>
      </c>
    </row>
    <row r="244" spans="1:12" x14ac:dyDescent="0.25">
      <c r="A244">
        <v>15</v>
      </c>
      <c r="B244">
        <v>80</v>
      </c>
      <c r="C244">
        <v>60</v>
      </c>
      <c r="D244">
        <v>7</v>
      </c>
      <c r="E244">
        <v>98</v>
      </c>
      <c r="F244">
        <v>80</v>
      </c>
      <c r="G244" t="s">
        <v>8</v>
      </c>
      <c r="H244" s="1" t="str">
        <f t="shared" si="15"/>
        <v>10-20</v>
      </c>
      <c r="I244" s="1" t="str">
        <f t="shared" si="16"/>
        <v>Normal</v>
      </c>
      <c r="J244" s="1" t="str">
        <f t="shared" si="17"/>
        <v>Normal</v>
      </c>
      <c r="K244" s="1" t="str">
        <f t="shared" si="18"/>
        <v>Normal</v>
      </c>
      <c r="L244" s="1" t="str">
        <f t="shared" si="19"/>
        <v>Normal</v>
      </c>
    </row>
    <row r="245" spans="1:12" x14ac:dyDescent="0.25">
      <c r="A245">
        <v>32</v>
      </c>
      <c r="B245">
        <v>120</v>
      </c>
      <c r="C245">
        <v>65</v>
      </c>
      <c r="D245">
        <v>6</v>
      </c>
      <c r="E245">
        <v>101</v>
      </c>
      <c r="F245">
        <v>76</v>
      </c>
      <c r="G245" t="s">
        <v>9</v>
      </c>
      <c r="H245" s="1" t="str">
        <f t="shared" si="15"/>
        <v>30-40</v>
      </c>
      <c r="I245" s="1" t="str">
        <f t="shared" si="16"/>
        <v>Pre-High</v>
      </c>
      <c r="J245" s="1" t="str">
        <f t="shared" si="17"/>
        <v>Normal</v>
      </c>
      <c r="K245" s="1" t="str">
        <f t="shared" si="18"/>
        <v>Normal</v>
      </c>
      <c r="L245" s="1" t="str">
        <f t="shared" si="19"/>
        <v>High</v>
      </c>
    </row>
    <row r="246" spans="1:12" x14ac:dyDescent="0.25">
      <c r="A246">
        <v>12</v>
      </c>
      <c r="B246">
        <v>95</v>
      </c>
      <c r="C246">
        <v>60</v>
      </c>
      <c r="D246">
        <v>7.2</v>
      </c>
      <c r="E246">
        <v>98</v>
      </c>
      <c r="F246">
        <v>77</v>
      </c>
      <c r="G246" t="s">
        <v>8</v>
      </c>
      <c r="H246" s="1" t="str">
        <f t="shared" si="15"/>
        <v>10-20</v>
      </c>
      <c r="I246" s="1" t="str">
        <f t="shared" si="16"/>
        <v>Normal</v>
      </c>
      <c r="J246" s="1" t="str">
        <f t="shared" si="17"/>
        <v>Normal</v>
      </c>
      <c r="K246" s="1" t="str">
        <f t="shared" si="18"/>
        <v>Normal</v>
      </c>
      <c r="L246" s="1" t="str">
        <f t="shared" si="19"/>
        <v>Normal</v>
      </c>
    </row>
    <row r="247" spans="1:12" x14ac:dyDescent="0.25">
      <c r="A247">
        <v>37</v>
      </c>
      <c r="B247">
        <v>120</v>
      </c>
      <c r="C247">
        <v>90</v>
      </c>
      <c r="D247">
        <v>11</v>
      </c>
      <c r="E247">
        <v>98</v>
      </c>
      <c r="F247">
        <v>88</v>
      </c>
      <c r="G247" t="s">
        <v>7</v>
      </c>
      <c r="H247" s="1" t="str">
        <f t="shared" si="15"/>
        <v>30-40</v>
      </c>
      <c r="I247" s="1" t="str">
        <f t="shared" si="16"/>
        <v>High</v>
      </c>
      <c r="J247" s="1" t="str">
        <f t="shared" si="17"/>
        <v>Slightly High</v>
      </c>
      <c r="K247" s="1" t="str">
        <f t="shared" si="18"/>
        <v>High</v>
      </c>
      <c r="L247" s="1" t="str">
        <f t="shared" si="19"/>
        <v>Normal</v>
      </c>
    </row>
    <row r="248" spans="1:12" x14ac:dyDescent="0.25">
      <c r="A248">
        <v>18</v>
      </c>
      <c r="B248">
        <v>100</v>
      </c>
      <c r="C248">
        <v>70</v>
      </c>
      <c r="D248">
        <v>6.8</v>
      </c>
      <c r="E248">
        <v>98</v>
      </c>
      <c r="F248">
        <v>76</v>
      </c>
      <c r="G248" t="s">
        <v>8</v>
      </c>
      <c r="H248" s="1" t="str">
        <f t="shared" si="15"/>
        <v>10-20</v>
      </c>
      <c r="I248" s="1" t="str">
        <f t="shared" si="16"/>
        <v>Normal</v>
      </c>
      <c r="J248" s="1" t="str">
        <f t="shared" si="17"/>
        <v>Normal</v>
      </c>
      <c r="K248" s="1" t="str">
        <f t="shared" si="18"/>
        <v>Normal</v>
      </c>
      <c r="L248" s="1" t="str">
        <f t="shared" si="19"/>
        <v>Normal</v>
      </c>
    </row>
    <row r="249" spans="1:12" x14ac:dyDescent="0.25">
      <c r="A249">
        <v>21</v>
      </c>
      <c r="B249">
        <v>100</v>
      </c>
      <c r="C249">
        <v>85</v>
      </c>
      <c r="D249">
        <v>6.9</v>
      </c>
      <c r="E249">
        <v>98</v>
      </c>
      <c r="F249">
        <v>70</v>
      </c>
      <c r="G249" t="s">
        <v>8</v>
      </c>
      <c r="H249" s="1" t="str">
        <f t="shared" si="15"/>
        <v>20-30</v>
      </c>
      <c r="I249" s="1" t="str">
        <f t="shared" si="16"/>
        <v>Pre-High</v>
      </c>
      <c r="J249" s="1" t="str">
        <f t="shared" si="17"/>
        <v>Normal</v>
      </c>
      <c r="K249" s="1" t="str">
        <f t="shared" si="18"/>
        <v>Normal</v>
      </c>
      <c r="L249" s="1" t="str">
        <f t="shared" si="19"/>
        <v>Normal</v>
      </c>
    </row>
    <row r="250" spans="1:12" x14ac:dyDescent="0.25">
      <c r="A250">
        <v>17</v>
      </c>
      <c r="B250">
        <v>110</v>
      </c>
      <c r="C250">
        <v>75</v>
      </c>
      <c r="D250">
        <v>13</v>
      </c>
      <c r="E250">
        <v>101</v>
      </c>
      <c r="F250">
        <v>76</v>
      </c>
      <c r="G250" t="s">
        <v>7</v>
      </c>
      <c r="H250" s="1" t="str">
        <f t="shared" si="15"/>
        <v>10-20</v>
      </c>
      <c r="I250" s="1" t="str">
        <f t="shared" si="16"/>
        <v>Normal</v>
      </c>
      <c r="J250" s="1" t="str">
        <f t="shared" si="17"/>
        <v>High</v>
      </c>
      <c r="K250" s="1" t="str">
        <f t="shared" si="18"/>
        <v>Normal</v>
      </c>
      <c r="L250" s="1" t="str">
        <f t="shared" si="19"/>
        <v>High</v>
      </c>
    </row>
    <row r="251" spans="1:12" x14ac:dyDescent="0.25">
      <c r="A251">
        <v>25</v>
      </c>
      <c r="B251">
        <v>120</v>
      </c>
      <c r="C251">
        <v>90</v>
      </c>
      <c r="D251">
        <v>15</v>
      </c>
      <c r="E251">
        <v>98</v>
      </c>
      <c r="F251">
        <v>80</v>
      </c>
      <c r="G251" t="s">
        <v>7</v>
      </c>
      <c r="H251" s="1" t="str">
        <f t="shared" si="15"/>
        <v>20-30</v>
      </c>
      <c r="I251" s="1" t="str">
        <f t="shared" si="16"/>
        <v>High</v>
      </c>
      <c r="J251" s="1" t="str">
        <f t="shared" si="17"/>
        <v>High</v>
      </c>
      <c r="K251" s="1" t="str">
        <f t="shared" si="18"/>
        <v>Normal</v>
      </c>
      <c r="L251" s="1" t="str">
        <f t="shared" si="19"/>
        <v>Normal</v>
      </c>
    </row>
    <row r="252" spans="1:12" x14ac:dyDescent="0.25">
      <c r="A252">
        <v>10</v>
      </c>
      <c r="B252">
        <v>85</v>
      </c>
      <c r="C252">
        <v>65</v>
      </c>
      <c r="D252">
        <v>6.9</v>
      </c>
      <c r="E252">
        <v>98</v>
      </c>
      <c r="F252">
        <v>70</v>
      </c>
      <c r="G252" t="s">
        <v>8</v>
      </c>
      <c r="H252" s="1" t="str">
        <f t="shared" si="15"/>
        <v>10-20</v>
      </c>
      <c r="I252" s="1" t="str">
        <f t="shared" si="16"/>
        <v>Normal</v>
      </c>
      <c r="J252" s="1" t="str">
        <f t="shared" si="17"/>
        <v>Normal</v>
      </c>
      <c r="K252" s="1" t="str">
        <f t="shared" si="18"/>
        <v>Normal</v>
      </c>
      <c r="L252" s="1" t="str">
        <f t="shared" si="19"/>
        <v>Normal</v>
      </c>
    </row>
    <row r="253" spans="1:12" x14ac:dyDescent="0.25">
      <c r="A253">
        <v>12</v>
      </c>
      <c r="B253">
        <v>95</v>
      </c>
      <c r="C253">
        <v>60</v>
      </c>
      <c r="D253">
        <v>6.9</v>
      </c>
      <c r="E253">
        <v>98</v>
      </c>
      <c r="F253">
        <v>65</v>
      </c>
      <c r="G253" t="s">
        <v>8</v>
      </c>
      <c r="H253" s="1" t="str">
        <f t="shared" si="15"/>
        <v>10-20</v>
      </c>
      <c r="I253" s="1" t="str">
        <f t="shared" si="16"/>
        <v>Normal</v>
      </c>
      <c r="J253" s="1" t="str">
        <f t="shared" si="17"/>
        <v>Normal</v>
      </c>
      <c r="K253" s="1" t="str">
        <f t="shared" si="18"/>
        <v>Low</v>
      </c>
      <c r="L253" s="1" t="str">
        <f t="shared" si="19"/>
        <v>Normal</v>
      </c>
    </row>
    <row r="254" spans="1:12" x14ac:dyDescent="0.25">
      <c r="A254">
        <v>28</v>
      </c>
      <c r="B254">
        <v>120</v>
      </c>
      <c r="C254">
        <v>90</v>
      </c>
      <c r="D254">
        <v>6.9</v>
      </c>
      <c r="E254">
        <v>98</v>
      </c>
      <c r="F254">
        <v>70</v>
      </c>
      <c r="G254" t="s">
        <v>8</v>
      </c>
      <c r="H254" s="1" t="str">
        <f t="shared" si="15"/>
        <v>20-30</v>
      </c>
      <c r="I254" s="1" t="str">
        <f t="shared" si="16"/>
        <v>High</v>
      </c>
      <c r="J254" s="1" t="str">
        <f t="shared" si="17"/>
        <v>Normal</v>
      </c>
      <c r="K254" s="1" t="str">
        <f t="shared" si="18"/>
        <v>Normal</v>
      </c>
      <c r="L254" s="1" t="str">
        <f t="shared" si="19"/>
        <v>Normal</v>
      </c>
    </row>
    <row r="255" spans="1:12" x14ac:dyDescent="0.25">
      <c r="A255">
        <v>40</v>
      </c>
      <c r="B255">
        <v>120</v>
      </c>
      <c r="C255">
        <v>90</v>
      </c>
      <c r="D255">
        <v>6.9</v>
      </c>
      <c r="E255">
        <v>98</v>
      </c>
      <c r="F255">
        <v>80</v>
      </c>
      <c r="G255" t="s">
        <v>8</v>
      </c>
      <c r="H255" s="1" t="str">
        <f t="shared" si="15"/>
        <v>30-40</v>
      </c>
      <c r="I255" s="1" t="str">
        <f t="shared" si="16"/>
        <v>High</v>
      </c>
      <c r="J255" s="1" t="str">
        <f t="shared" si="17"/>
        <v>Normal</v>
      </c>
      <c r="K255" s="1" t="str">
        <f t="shared" si="18"/>
        <v>Normal</v>
      </c>
      <c r="L255" s="1" t="str">
        <f t="shared" si="19"/>
        <v>Normal</v>
      </c>
    </row>
    <row r="256" spans="1:12" x14ac:dyDescent="0.25">
      <c r="A256">
        <v>55</v>
      </c>
      <c r="B256">
        <v>110</v>
      </c>
      <c r="C256">
        <v>85</v>
      </c>
      <c r="D256">
        <v>6.9</v>
      </c>
      <c r="E256">
        <v>98</v>
      </c>
      <c r="F256">
        <v>88</v>
      </c>
      <c r="G256" t="s">
        <v>8</v>
      </c>
      <c r="H256" s="1" t="str">
        <f t="shared" si="15"/>
        <v>50+</v>
      </c>
      <c r="I256" s="1" t="str">
        <f t="shared" si="16"/>
        <v>Pre-High</v>
      </c>
      <c r="J256" s="1" t="str">
        <f t="shared" si="17"/>
        <v>Normal</v>
      </c>
      <c r="K256" s="1" t="str">
        <f t="shared" si="18"/>
        <v>High</v>
      </c>
      <c r="L256" s="1" t="str">
        <f t="shared" si="19"/>
        <v>Normal</v>
      </c>
    </row>
    <row r="257" spans="1:12" x14ac:dyDescent="0.25">
      <c r="A257">
        <v>25</v>
      </c>
      <c r="B257">
        <v>100</v>
      </c>
      <c r="C257">
        <v>90</v>
      </c>
      <c r="D257">
        <v>6.9</v>
      </c>
      <c r="E257">
        <v>98</v>
      </c>
      <c r="F257">
        <v>76</v>
      </c>
      <c r="G257" t="s">
        <v>8</v>
      </c>
      <c r="H257" s="1" t="str">
        <f t="shared" si="15"/>
        <v>20-30</v>
      </c>
      <c r="I257" s="1" t="str">
        <f t="shared" si="16"/>
        <v>High</v>
      </c>
      <c r="J257" s="1" t="str">
        <f t="shared" si="17"/>
        <v>Normal</v>
      </c>
      <c r="K257" s="1" t="str">
        <f t="shared" si="18"/>
        <v>Normal</v>
      </c>
      <c r="L257" s="1" t="str">
        <f t="shared" si="19"/>
        <v>Normal</v>
      </c>
    </row>
    <row r="258" spans="1:12" x14ac:dyDescent="0.25">
      <c r="A258">
        <v>35</v>
      </c>
      <c r="B258">
        <v>120</v>
      </c>
      <c r="C258">
        <v>80</v>
      </c>
      <c r="D258">
        <v>6.9</v>
      </c>
      <c r="E258">
        <v>98</v>
      </c>
      <c r="F258">
        <v>80</v>
      </c>
      <c r="G258" t="s">
        <v>8</v>
      </c>
      <c r="H258" s="1" t="str">
        <f t="shared" si="15"/>
        <v>30-40</v>
      </c>
      <c r="I258" s="1" t="str">
        <f t="shared" si="16"/>
        <v>Pre-High</v>
      </c>
      <c r="J258" s="1" t="str">
        <f t="shared" si="17"/>
        <v>Normal</v>
      </c>
      <c r="K258" s="1" t="str">
        <f t="shared" si="18"/>
        <v>Normal</v>
      </c>
      <c r="L258" s="1" t="str">
        <f t="shared" si="19"/>
        <v>Normal</v>
      </c>
    </row>
    <row r="259" spans="1:12" x14ac:dyDescent="0.25">
      <c r="A259">
        <v>21</v>
      </c>
      <c r="B259">
        <v>90</v>
      </c>
      <c r="C259">
        <v>65</v>
      </c>
      <c r="D259">
        <v>6.9</v>
      </c>
      <c r="E259">
        <v>98</v>
      </c>
      <c r="F259">
        <v>76</v>
      </c>
      <c r="G259" t="s">
        <v>8</v>
      </c>
      <c r="H259" s="1" t="str">
        <f t="shared" ref="H259:H322" si="20">IF(A259&lt;=20,"10-20",
 IF(A259&lt;=30,"20-30",
 IF(A259&lt;=40,"30-40",
 IF(A259&lt;=50,"40-50","50+"))))</f>
        <v>20-30</v>
      </c>
      <c r="I259" s="1" t="str">
        <f t="shared" ref="I259:I322" si="21">IF(AND(B259&lt;90,C259&lt;60),"Low BP",
 IF(AND(B259&lt;120,C259&lt;80),"Normal",
 IF(AND(B259&lt;140,C259&lt;90),"Pre-High",
 IF(AND(B259&lt;160,C259&lt;100),"High","Critical"))))</f>
        <v>Normal</v>
      </c>
      <c r="J259" s="1" t="str">
        <f t="shared" ref="J259:J322" si="22">IF(D259&lt;8,"Normal",
 IF(D259&lt;12,"Slightly High","High"))</f>
        <v>Normal</v>
      </c>
      <c r="K259" s="1" t="str">
        <f t="shared" ref="K259:K322" si="23">IF(F259&lt;70,"Low",
 IF(F259&lt;=85,"Normal","High"))</f>
        <v>Normal</v>
      </c>
      <c r="L259" s="1" t="str">
        <f t="shared" ref="L259:L322" si="24">IF(E259&lt;97.5,"Low",
 IF(E259&lt;=99,"Normal","High"))</f>
        <v>Normal</v>
      </c>
    </row>
    <row r="260" spans="1:12" x14ac:dyDescent="0.25">
      <c r="A260">
        <v>18</v>
      </c>
      <c r="B260">
        <v>90</v>
      </c>
      <c r="C260">
        <v>60</v>
      </c>
      <c r="D260">
        <v>6.9</v>
      </c>
      <c r="E260">
        <v>98</v>
      </c>
      <c r="F260">
        <v>70</v>
      </c>
      <c r="G260" t="s">
        <v>8</v>
      </c>
      <c r="H260" s="1" t="str">
        <f t="shared" si="20"/>
        <v>10-20</v>
      </c>
      <c r="I260" s="1" t="str">
        <f t="shared" si="21"/>
        <v>Normal</v>
      </c>
      <c r="J260" s="1" t="str">
        <f t="shared" si="22"/>
        <v>Normal</v>
      </c>
      <c r="K260" s="1" t="str">
        <f t="shared" si="23"/>
        <v>Normal</v>
      </c>
      <c r="L260" s="1" t="str">
        <f t="shared" si="24"/>
        <v>Normal</v>
      </c>
    </row>
    <row r="261" spans="1:12" x14ac:dyDescent="0.25">
      <c r="A261">
        <v>21</v>
      </c>
      <c r="B261">
        <v>120</v>
      </c>
      <c r="C261">
        <v>80</v>
      </c>
      <c r="D261">
        <v>6.9</v>
      </c>
      <c r="E261">
        <v>98</v>
      </c>
      <c r="F261">
        <v>76</v>
      </c>
      <c r="G261" t="s">
        <v>8</v>
      </c>
      <c r="H261" s="1" t="str">
        <f t="shared" si="20"/>
        <v>20-30</v>
      </c>
      <c r="I261" s="1" t="str">
        <f t="shared" si="21"/>
        <v>Pre-High</v>
      </c>
      <c r="J261" s="1" t="str">
        <f t="shared" si="22"/>
        <v>Normal</v>
      </c>
      <c r="K261" s="1" t="str">
        <f t="shared" si="23"/>
        <v>Normal</v>
      </c>
      <c r="L261" s="1" t="str">
        <f t="shared" si="24"/>
        <v>Normal</v>
      </c>
    </row>
    <row r="262" spans="1:12" x14ac:dyDescent="0.25">
      <c r="A262">
        <v>16</v>
      </c>
      <c r="B262">
        <v>100</v>
      </c>
      <c r="C262">
        <v>70</v>
      </c>
      <c r="D262">
        <v>6.9</v>
      </c>
      <c r="E262">
        <v>98</v>
      </c>
      <c r="F262">
        <v>80</v>
      </c>
      <c r="G262" t="s">
        <v>8</v>
      </c>
      <c r="H262" s="1" t="str">
        <f t="shared" si="20"/>
        <v>10-20</v>
      </c>
      <c r="I262" s="1" t="str">
        <f t="shared" si="21"/>
        <v>Normal</v>
      </c>
      <c r="J262" s="1" t="str">
        <f t="shared" si="22"/>
        <v>Normal</v>
      </c>
      <c r="K262" s="1" t="str">
        <f t="shared" si="23"/>
        <v>Normal</v>
      </c>
      <c r="L262" s="1" t="str">
        <f t="shared" si="24"/>
        <v>Normal</v>
      </c>
    </row>
    <row r="263" spans="1:12" x14ac:dyDescent="0.25">
      <c r="A263">
        <v>19</v>
      </c>
      <c r="B263">
        <v>120</v>
      </c>
      <c r="C263">
        <v>75</v>
      </c>
      <c r="D263">
        <v>6.9</v>
      </c>
      <c r="E263">
        <v>98</v>
      </c>
      <c r="F263">
        <v>66</v>
      </c>
      <c r="G263" t="s">
        <v>8</v>
      </c>
      <c r="H263" s="1" t="str">
        <f t="shared" si="20"/>
        <v>10-20</v>
      </c>
      <c r="I263" s="1" t="str">
        <f t="shared" si="21"/>
        <v>Pre-High</v>
      </c>
      <c r="J263" s="1" t="str">
        <f t="shared" si="22"/>
        <v>Normal</v>
      </c>
      <c r="K263" s="1" t="str">
        <f t="shared" si="23"/>
        <v>Low</v>
      </c>
      <c r="L263" s="1" t="str">
        <f t="shared" si="24"/>
        <v>Normal</v>
      </c>
    </row>
    <row r="264" spans="1:12" x14ac:dyDescent="0.25">
      <c r="A264">
        <v>40</v>
      </c>
      <c r="B264">
        <v>160</v>
      </c>
      <c r="C264">
        <v>100</v>
      </c>
      <c r="D264">
        <v>19</v>
      </c>
      <c r="E264">
        <v>98</v>
      </c>
      <c r="F264">
        <v>77</v>
      </c>
      <c r="G264" t="s">
        <v>7</v>
      </c>
      <c r="H264" s="1" t="str">
        <f t="shared" si="20"/>
        <v>30-40</v>
      </c>
      <c r="I264" s="1" t="str">
        <f t="shared" si="21"/>
        <v>Critical</v>
      </c>
      <c r="J264" s="1" t="str">
        <f t="shared" si="22"/>
        <v>High</v>
      </c>
      <c r="K264" s="1" t="str">
        <f t="shared" si="23"/>
        <v>Normal</v>
      </c>
      <c r="L264" s="1" t="str">
        <f t="shared" si="24"/>
        <v>Normal</v>
      </c>
    </row>
    <row r="265" spans="1:12" x14ac:dyDescent="0.25">
      <c r="A265">
        <v>32</v>
      </c>
      <c r="B265">
        <v>140</v>
      </c>
      <c r="C265">
        <v>90</v>
      </c>
      <c r="D265">
        <v>18</v>
      </c>
      <c r="E265">
        <v>98</v>
      </c>
      <c r="F265">
        <v>88</v>
      </c>
      <c r="G265" t="s">
        <v>7</v>
      </c>
      <c r="H265" s="1" t="str">
        <f t="shared" si="20"/>
        <v>30-40</v>
      </c>
      <c r="I265" s="1" t="str">
        <f t="shared" si="21"/>
        <v>High</v>
      </c>
      <c r="J265" s="1" t="str">
        <f t="shared" si="22"/>
        <v>High</v>
      </c>
      <c r="K265" s="1" t="str">
        <f t="shared" si="23"/>
        <v>High</v>
      </c>
      <c r="L265" s="1" t="str">
        <f t="shared" si="24"/>
        <v>Normal</v>
      </c>
    </row>
    <row r="266" spans="1:12" x14ac:dyDescent="0.25">
      <c r="A266">
        <v>22</v>
      </c>
      <c r="B266">
        <v>100</v>
      </c>
      <c r="C266">
        <v>65</v>
      </c>
      <c r="D266">
        <v>6.9</v>
      </c>
      <c r="E266">
        <v>98</v>
      </c>
      <c r="F266">
        <v>70</v>
      </c>
      <c r="G266" t="s">
        <v>8</v>
      </c>
      <c r="H266" s="1" t="str">
        <f t="shared" si="20"/>
        <v>20-30</v>
      </c>
      <c r="I266" s="1" t="str">
        <f t="shared" si="21"/>
        <v>Normal</v>
      </c>
      <c r="J266" s="1" t="str">
        <f t="shared" si="22"/>
        <v>Normal</v>
      </c>
      <c r="K266" s="1" t="str">
        <f t="shared" si="23"/>
        <v>Normal</v>
      </c>
      <c r="L266" s="1" t="str">
        <f t="shared" si="24"/>
        <v>Normal</v>
      </c>
    </row>
    <row r="267" spans="1:12" x14ac:dyDescent="0.25">
      <c r="A267">
        <v>49</v>
      </c>
      <c r="B267">
        <v>120</v>
      </c>
      <c r="C267">
        <v>90</v>
      </c>
      <c r="D267">
        <v>6.9</v>
      </c>
      <c r="E267">
        <v>98</v>
      </c>
      <c r="F267">
        <v>77</v>
      </c>
      <c r="G267" t="s">
        <v>8</v>
      </c>
      <c r="H267" s="1" t="str">
        <f t="shared" si="20"/>
        <v>40-50</v>
      </c>
      <c r="I267" s="1" t="str">
        <f t="shared" si="21"/>
        <v>High</v>
      </c>
      <c r="J267" s="1" t="str">
        <f t="shared" si="22"/>
        <v>Normal</v>
      </c>
      <c r="K267" s="1" t="str">
        <f t="shared" si="23"/>
        <v>Normal</v>
      </c>
      <c r="L267" s="1" t="str">
        <f t="shared" si="24"/>
        <v>Normal</v>
      </c>
    </row>
    <row r="268" spans="1:12" x14ac:dyDescent="0.25">
      <c r="A268">
        <v>28</v>
      </c>
      <c r="B268">
        <v>90</v>
      </c>
      <c r="C268">
        <v>60</v>
      </c>
      <c r="D268">
        <v>6.9</v>
      </c>
      <c r="E268">
        <v>98</v>
      </c>
      <c r="F268">
        <v>82</v>
      </c>
      <c r="G268" t="s">
        <v>8</v>
      </c>
      <c r="H268" s="1" t="str">
        <f t="shared" si="20"/>
        <v>20-30</v>
      </c>
      <c r="I268" s="1" t="str">
        <f t="shared" si="21"/>
        <v>Normal</v>
      </c>
      <c r="J268" s="1" t="str">
        <f t="shared" si="22"/>
        <v>Normal</v>
      </c>
      <c r="K268" s="1" t="str">
        <f t="shared" si="23"/>
        <v>Normal</v>
      </c>
      <c r="L268" s="1" t="str">
        <f t="shared" si="24"/>
        <v>Normal</v>
      </c>
    </row>
    <row r="269" spans="1:12" x14ac:dyDescent="0.25">
      <c r="A269">
        <v>12</v>
      </c>
      <c r="B269">
        <v>90</v>
      </c>
      <c r="C269">
        <v>60</v>
      </c>
      <c r="D269">
        <v>8</v>
      </c>
      <c r="E269">
        <v>102</v>
      </c>
      <c r="F269">
        <v>66</v>
      </c>
      <c r="G269" t="s">
        <v>7</v>
      </c>
      <c r="H269" s="1" t="str">
        <f t="shared" si="20"/>
        <v>10-20</v>
      </c>
      <c r="I269" s="1" t="str">
        <f t="shared" si="21"/>
        <v>Normal</v>
      </c>
      <c r="J269" s="1" t="str">
        <f t="shared" si="22"/>
        <v>Slightly High</v>
      </c>
      <c r="K269" s="1" t="str">
        <f t="shared" si="23"/>
        <v>Low</v>
      </c>
      <c r="L269" s="1" t="str">
        <f t="shared" si="24"/>
        <v>High</v>
      </c>
    </row>
    <row r="270" spans="1:12" x14ac:dyDescent="0.25">
      <c r="A270">
        <v>20</v>
      </c>
      <c r="B270">
        <v>100</v>
      </c>
      <c r="C270">
        <v>90</v>
      </c>
      <c r="D270">
        <v>7</v>
      </c>
      <c r="E270">
        <v>98</v>
      </c>
      <c r="F270">
        <v>88</v>
      </c>
      <c r="G270" t="s">
        <v>8</v>
      </c>
      <c r="H270" s="1" t="str">
        <f t="shared" si="20"/>
        <v>10-20</v>
      </c>
      <c r="I270" s="1" t="str">
        <f t="shared" si="21"/>
        <v>High</v>
      </c>
      <c r="J270" s="1" t="str">
        <f t="shared" si="22"/>
        <v>Normal</v>
      </c>
      <c r="K270" s="1" t="str">
        <f t="shared" si="23"/>
        <v>High</v>
      </c>
      <c r="L270" s="1" t="str">
        <f t="shared" si="24"/>
        <v>Normal</v>
      </c>
    </row>
    <row r="271" spans="1:12" x14ac:dyDescent="0.25">
      <c r="A271">
        <v>23</v>
      </c>
      <c r="B271">
        <v>100</v>
      </c>
      <c r="C271">
        <v>85</v>
      </c>
      <c r="D271">
        <v>7</v>
      </c>
      <c r="E271">
        <v>98</v>
      </c>
      <c r="F271">
        <v>66</v>
      </c>
      <c r="G271" t="s">
        <v>8</v>
      </c>
      <c r="H271" s="1" t="str">
        <f t="shared" si="20"/>
        <v>20-30</v>
      </c>
      <c r="I271" s="1" t="str">
        <f t="shared" si="21"/>
        <v>Pre-High</v>
      </c>
      <c r="J271" s="1" t="str">
        <f t="shared" si="22"/>
        <v>Normal</v>
      </c>
      <c r="K271" s="1" t="str">
        <f t="shared" si="23"/>
        <v>Low</v>
      </c>
      <c r="L271" s="1" t="str">
        <f t="shared" si="24"/>
        <v>Normal</v>
      </c>
    </row>
    <row r="272" spans="1:12" x14ac:dyDescent="0.25">
      <c r="A272">
        <v>22</v>
      </c>
      <c r="B272">
        <v>120</v>
      </c>
      <c r="C272">
        <v>90</v>
      </c>
      <c r="D272">
        <v>7</v>
      </c>
      <c r="E272">
        <v>98</v>
      </c>
      <c r="F272">
        <v>82</v>
      </c>
      <c r="G272" t="s">
        <v>8</v>
      </c>
      <c r="H272" s="1" t="str">
        <f t="shared" si="20"/>
        <v>20-30</v>
      </c>
      <c r="I272" s="1" t="str">
        <f t="shared" si="21"/>
        <v>High</v>
      </c>
      <c r="J272" s="1" t="str">
        <f t="shared" si="22"/>
        <v>Normal</v>
      </c>
      <c r="K272" s="1" t="str">
        <f t="shared" si="23"/>
        <v>Normal</v>
      </c>
      <c r="L272" s="1" t="str">
        <f t="shared" si="24"/>
        <v>Normal</v>
      </c>
    </row>
    <row r="273" spans="1:12" x14ac:dyDescent="0.25">
      <c r="A273">
        <v>21</v>
      </c>
      <c r="B273">
        <v>120</v>
      </c>
      <c r="C273">
        <v>80</v>
      </c>
      <c r="D273">
        <v>7</v>
      </c>
      <c r="E273">
        <v>98</v>
      </c>
      <c r="F273">
        <v>77</v>
      </c>
      <c r="G273" t="s">
        <v>8</v>
      </c>
      <c r="H273" s="1" t="str">
        <f t="shared" si="20"/>
        <v>20-30</v>
      </c>
      <c r="I273" s="1" t="str">
        <f t="shared" si="21"/>
        <v>Pre-High</v>
      </c>
      <c r="J273" s="1" t="str">
        <f t="shared" si="22"/>
        <v>Normal</v>
      </c>
      <c r="K273" s="1" t="str">
        <f t="shared" si="23"/>
        <v>Normal</v>
      </c>
      <c r="L273" s="1" t="str">
        <f t="shared" si="24"/>
        <v>Normal</v>
      </c>
    </row>
    <row r="274" spans="1:12" x14ac:dyDescent="0.25">
      <c r="A274">
        <v>35</v>
      </c>
      <c r="B274">
        <v>140</v>
      </c>
      <c r="C274">
        <v>100</v>
      </c>
      <c r="D274">
        <v>9</v>
      </c>
      <c r="E274">
        <v>98</v>
      </c>
      <c r="F274">
        <v>66</v>
      </c>
      <c r="G274" t="s">
        <v>7</v>
      </c>
      <c r="H274" s="1" t="str">
        <f t="shared" si="20"/>
        <v>30-40</v>
      </c>
      <c r="I274" s="1" t="str">
        <f t="shared" si="21"/>
        <v>Critical</v>
      </c>
      <c r="J274" s="1" t="str">
        <f t="shared" si="22"/>
        <v>Slightly High</v>
      </c>
      <c r="K274" s="1" t="str">
        <f t="shared" si="23"/>
        <v>Low</v>
      </c>
      <c r="L274" s="1" t="str">
        <f t="shared" si="24"/>
        <v>Normal</v>
      </c>
    </row>
    <row r="275" spans="1:12" x14ac:dyDescent="0.25">
      <c r="A275">
        <v>54</v>
      </c>
      <c r="B275">
        <v>140</v>
      </c>
      <c r="C275">
        <v>100</v>
      </c>
      <c r="D275">
        <v>15</v>
      </c>
      <c r="E275">
        <v>98</v>
      </c>
      <c r="F275">
        <v>66</v>
      </c>
      <c r="G275" t="s">
        <v>7</v>
      </c>
      <c r="H275" s="1" t="str">
        <f t="shared" si="20"/>
        <v>50+</v>
      </c>
      <c r="I275" s="1" t="str">
        <f t="shared" si="21"/>
        <v>Critical</v>
      </c>
      <c r="J275" s="1" t="str">
        <f t="shared" si="22"/>
        <v>High</v>
      </c>
      <c r="K275" s="1" t="str">
        <f t="shared" si="23"/>
        <v>Low</v>
      </c>
      <c r="L275" s="1" t="str">
        <f t="shared" si="24"/>
        <v>Normal</v>
      </c>
    </row>
    <row r="276" spans="1:12" x14ac:dyDescent="0.25">
      <c r="A276">
        <v>40</v>
      </c>
      <c r="B276">
        <v>120</v>
      </c>
      <c r="C276">
        <v>95</v>
      </c>
      <c r="D276">
        <v>11</v>
      </c>
      <c r="E276">
        <v>98</v>
      </c>
      <c r="F276">
        <v>80</v>
      </c>
      <c r="G276" t="s">
        <v>7</v>
      </c>
      <c r="H276" s="1" t="str">
        <f t="shared" si="20"/>
        <v>30-40</v>
      </c>
      <c r="I276" s="1" t="str">
        <f t="shared" si="21"/>
        <v>High</v>
      </c>
      <c r="J276" s="1" t="str">
        <f t="shared" si="22"/>
        <v>Slightly High</v>
      </c>
      <c r="K276" s="1" t="str">
        <f t="shared" si="23"/>
        <v>Normal</v>
      </c>
      <c r="L276" s="1" t="str">
        <f t="shared" si="24"/>
        <v>Normal</v>
      </c>
    </row>
    <row r="277" spans="1:12" x14ac:dyDescent="0.25">
      <c r="A277">
        <v>21</v>
      </c>
      <c r="B277">
        <v>75</v>
      </c>
      <c r="C277">
        <v>50</v>
      </c>
      <c r="D277">
        <v>7.7</v>
      </c>
      <c r="E277">
        <v>98</v>
      </c>
      <c r="F277">
        <v>60</v>
      </c>
      <c r="G277" t="s">
        <v>8</v>
      </c>
      <c r="H277" s="1" t="str">
        <f t="shared" si="20"/>
        <v>20-30</v>
      </c>
      <c r="I277" s="1" t="str">
        <f t="shared" si="21"/>
        <v>Low BP</v>
      </c>
      <c r="J277" s="1" t="str">
        <f t="shared" si="22"/>
        <v>Normal</v>
      </c>
      <c r="K277" s="1" t="str">
        <f t="shared" si="23"/>
        <v>Low</v>
      </c>
      <c r="L277" s="1" t="str">
        <f t="shared" si="24"/>
        <v>Normal</v>
      </c>
    </row>
    <row r="278" spans="1:12" x14ac:dyDescent="0.25">
      <c r="A278">
        <v>12</v>
      </c>
      <c r="B278">
        <v>90</v>
      </c>
      <c r="C278">
        <v>60</v>
      </c>
      <c r="D278">
        <v>11</v>
      </c>
      <c r="E278">
        <v>102</v>
      </c>
      <c r="F278">
        <v>60</v>
      </c>
      <c r="G278" t="s">
        <v>7</v>
      </c>
      <c r="H278" s="1" t="str">
        <f t="shared" si="20"/>
        <v>10-20</v>
      </c>
      <c r="I278" s="1" t="str">
        <f t="shared" si="21"/>
        <v>Normal</v>
      </c>
      <c r="J278" s="1" t="str">
        <f t="shared" si="22"/>
        <v>Slightly High</v>
      </c>
      <c r="K278" s="1" t="str">
        <f t="shared" si="23"/>
        <v>Low</v>
      </c>
      <c r="L278" s="1" t="str">
        <f t="shared" si="24"/>
        <v>High</v>
      </c>
    </row>
    <row r="279" spans="1:12" x14ac:dyDescent="0.25">
      <c r="A279">
        <v>60</v>
      </c>
      <c r="B279">
        <v>120</v>
      </c>
      <c r="C279">
        <v>85</v>
      </c>
      <c r="D279">
        <v>15</v>
      </c>
      <c r="E279">
        <v>98</v>
      </c>
      <c r="F279">
        <v>60</v>
      </c>
      <c r="G279" t="s">
        <v>7</v>
      </c>
      <c r="H279" s="1" t="str">
        <f t="shared" si="20"/>
        <v>50+</v>
      </c>
      <c r="I279" s="1" t="str">
        <f t="shared" si="21"/>
        <v>Pre-High</v>
      </c>
      <c r="J279" s="1" t="str">
        <f t="shared" si="22"/>
        <v>High</v>
      </c>
      <c r="K279" s="1" t="str">
        <f t="shared" si="23"/>
        <v>Low</v>
      </c>
      <c r="L279" s="1" t="str">
        <f t="shared" si="24"/>
        <v>Normal</v>
      </c>
    </row>
    <row r="280" spans="1:12" x14ac:dyDescent="0.25">
      <c r="A280">
        <v>55</v>
      </c>
      <c r="B280">
        <v>140</v>
      </c>
      <c r="C280">
        <v>95</v>
      </c>
      <c r="D280">
        <v>19</v>
      </c>
      <c r="E280">
        <v>98</v>
      </c>
      <c r="F280">
        <v>77</v>
      </c>
      <c r="G280" t="s">
        <v>7</v>
      </c>
      <c r="H280" s="1" t="str">
        <f t="shared" si="20"/>
        <v>50+</v>
      </c>
      <c r="I280" s="1" t="str">
        <f t="shared" si="21"/>
        <v>High</v>
      </c>
      <c r="J280" s="1" t="str">
        <f t="shared" si="22"/>
        <v>High</v>
      </c>
      <c r="K280" s="1" t="str">
        <f t="shared" si="23"/>
        <v>Normal</v>
      </c>
      <c r="L280" s="1" t="str">
        <f t="shared" si="24"/>
        <v>Normal</v>
      </c>
    </row>
    <row r="281" spans="1:12" x14ac:dyDescent="0.25">
      <c r="A281">
        <v>50</v>
      </c>
      <c r="B281">
        <v>130</v>
      </c>
      <c r="C281">
        <v>100</v>
      </c>
      <c r="D281">
        <v>16</v>
      </c>
      <c r="E281">
        <v>98</v>
      </c>
      <c r="F281">
        <v>76</v>
      </c>
      <c r="G281" t="s">
        <v>7</v>
      </c>
      <c r="H281" s="1" t="str">
        <f t="shared" si="20"/>
        <v>40-50</v>
      </c>
      <c r="I281" s="1" t="str">
        <f t="shared" si="21"/>
        <v>Critical</v>
      </c>
      <c r="J281" s="1" t="str">
        <f t="shared" si="22"/>
        <v>High</v>
      </c>
      <c r="K281" s="1" t="str">
        <f t="shared" si="23"/>
        <v>Normal</v>
      </c>
      <c r="L281" s="1" t="str">
        <f t="shared" si="24"/>
        <v>Normal</v>
      </c>
    </row>
    <row r="282" spans="1:12" x14ac:dyDescent="0.25">
      <c r="A282">
        <v>60</v>
      </c>
      <c r="B282">
        <v>120</v>
      </c>
      <c r="C282">
        <v>80</v>
      </c>
      <c r="D282">
        <v>7.7</v>
      </c>
      <c r="E282">
        <v>98</v>
      </c>
      <c r="F282">
        <v>75</v>
      </c>
      <c r="G282" t="s">
        <v>8</v>
      </c>
      <c r="H282" s="1" t="str">
        <f t="shared" si="20"/>
        <v>50+</v>
      </c>
      <c r="I282" s="1" t="str">
        <f t="shared" si="21"/>
        <v>Pre-High</v>
      </c>
      <c r="J282" s="1" t="str">
        <f t="shared" si="22"/>
        <v>Normal</v>
      </c>
      <c r="K282" s="1" t="str">
        <f t="shared" si="23"/>
        <v>Normal</v>
      </c>
      <c r="L282" s="1" t="str">
        <f t="shared" si="24"/>
        <v>Normal</v>
      </c>
    </row>
    <row r="283" spans="1:12" x14ac:dyDescent="0.25">
      <c r="A283">
        <v>55</v>
      </c>
      <c r="B283">
        <v>100</v>
      </c>
      <c r="C283">
        <v>65</v>
      </c>
      <c r="D283">
        <v>7.7</v>
      </c>
      <c r="E283">
        <v>98</v>
      </c>
      <c r="F283">
        <v>66</v>
      </c>
      <c r="G283" t="s">
        <v>8</v>
      </c>
      <c r="H283" s="1" t="str">
        <f t="shared" si="20"/>
        <v>50+</v>
      </c>
      <c r="I283" s="1" t="str">
        <f t="shared" si="21"/>
        <v>Normal</v>
      </c>
      <c r="J283" s="1" t="str">
        <f t="shared" si="22"/>
        <v>Normal</v>
      </c>
      <c r="K283" s="1" t="str">
        <f t="shared" si="23"/>
        <v>Low</v>
      </c>
      <c r="L283" s="1" t="str">
        <f t="shared" si="24"/>
        <v>Normal</v>
      </c>
    </row>
    <row r="284" spans="1:12" x14ac:dyDescent="0.25">
      <c r="A284">
        <v>45</v>
      </c>
      <c r="B284">
        <v>120</v>
      </c>
      <c r="C284">
        <v>95</v>
      </c>
      <c r="D284">
        <v>7.7</v>
      </c>
      <c r="E284">
        <v>98</v>
      </c>
      <c r="F284">
        <v>66</v>
      </c>
      <c r="G284" t="s">
        <v>8</v>
      </c>
      <c r="H284" s="1" t="str">
        <f t="shared" si="20"/>
        <v>40-50</v>
      </c>
      <c r="I284" s="1" t="str">
        <f t="shared" si="21"/>
        <v>High</v>
      </c>
      <c r="J284" s="1" t="str">
        <f t="shared" si="22"/>
        <v>Normal</v>
      </c>
      <c r="K284" s="1" t="str">
        <f t="shared" si="23"/>
        <v>Low</v>
      </c>
      <c r="L284" s="1" t="str">
        <f t="shared" si="24"/>
        <v>Normal</v>
      </c>
    </row>
    <row r="285" spans="1:12" x14ac:dyDescent="0.25">
      <c r="A285">
        <v>35</v>
      </c>
      <c r="B285">
        <v>100</v>
      </c>
      <c r="C285">
        <v>70</v>
      </c>
      <c r="D285">
        <v>7.7</v>
      </c>
      <c r="E285">
        <v>98</v>
      </c>
      <c r="F285">
        <v>66</v>
      </c>
      <c r="G285" t="s">
        <v>8</v>
      </c>
      <c r="H285" s="1" t="str">
        <f t="shared" si="20"/>
        <v>30-40</v>
      </c>
      <c r="I285" s="1" t="str">
        <f t="shared" si="21"/>
        <v>Normal</v>
      </c>
      <c r="J285" s="1" t="str">
        <f t="shared" si="22"/>
        <v>Normal</v>
      </c>
      <c r="K285" s="1" t="str">
        <f t="shared" si="23"/>
        <v>Low</v>
      </c>
      <c r="L285" s="1" t="str">
        <f t="shared" si="24"/>
        <v>Normal</v>
      </c>
    </row>
    <row r="286" spans="1:12" x14ac:dyDescent="0.25">
      <c r="A286">
        <v>22</v>
      </c>
      <c r="B286">
        <v>120</v>
      </c>
      <c r="C286">
        <v>85</v>
      </c>
      <c r="D286">
        <v>7.7</v>
      </c>
      <c r="E286">
        <v>98</v>
      </c>
      <c r="F286">
        <v>88</v>
      </c>
      <c r="G286" t="s">
        <v>8</v>
      </c>
      <c r="H286" s="1" t="str">
        <f t="shared" si="20"/>
        <v>20-30</v>
      </c>
      <c r="I286" s="1" t="str">
        <f t="shared" si="21"/>
        <v>Pre-High</v>
      </c>
      <c r="J286" s="1" t="str">
        <f t="shared" si="22"/>
        <v>Normal</v>
      </c>
      <c r="K286" s="1" t="str">
        <f t="shared" si="23"/>
        <v>High</v>
      </c>
      <c r="L286" s="1" t="str">
        <f t="shared" si="24"/>
        <v>Normal</v>
      </c>
    </row>
    <row r="287" spans="1:12" x14ac:dyDescent="0.25">
      <c r="A287">
        <v>13</v>
      </c>
      <c r="B287">
        <v>90</v>
      </c>
      <c r="C287">
        <v>65</v>
      </c>
      <c r="D287">
        <v>9</v>
      </c>
      <c r="E287">
        <v>101</v>
      </c>
      <c r="F287">
        <v>80</v>
      </c>
      <c r="G287" t="s">
        <v>7</v>
      </c>
      <c r="H287" s="1" t="str">
        <f t="shared" si="20"/>
        <v>10-20</v>
      </c>
      <c r="I287" s="1" t="str">
        <f t="shared" si="21"/>
        <v>Normal</v>
      </c>
      <c r="J287" s="1" t="str">
        <f t="shared" si="22"/>
        <v>Slightly High</v>
      </c>
      <c r="K287" s="1" t="str">
        <f t="shared" si="23"/>
        <v>Normal</v>
      </c>
      <c r="L287" s="1" t="str">
        <f t="shared" si="24"/>
        <v>High</v>
      </c>
    </row>
    <row r="288" spans="1:12" x14ac:dyDescent="0.25">
      <c r="A288">
        <v>23</v>
      </c>
      <c r="B288">
        <v>120</v>
      </c>
      <c r="C288">
        <v>90</v>
      </c>
      <c r="D288">
        <v>7.7</v>
      </c>
      <c r="E288">
        <v>98</v>
      </c>
      <c r="F288">
        <v>60</v>
      </c>
      <c r="G288" t="s">
        <v>8</v>
      </c>
      <c r="H288" s="1" t="str">
        <f t="shared" si="20"/>
        <v>20-30</v>
      </c>
      <c r="I288" s="1" t="str">
        <f t="shared" si="21"/>
        <v>High</v>
      </c>
      <c r="J288" s="1" t="str">
        <f t="shared" si="22"/>
        <v>Normal</v>
      </c>
      <c r="K288" s="1" t="str">
        <f t="shared" si="23"/>
        <v>Low</v>
      </c>
      <c r="L288" s="1" t="str">
        <f t="shared" si="24"/>
        <v>Normal</v>
      </c>
    </row>
    <row r="289" spans="1:12" x14ac:dyDescent="0.25">
      <c r="A289">
        <v>17</v>
      </c>
      <c r="B289">
        <v>90</v>
      </c>
      <c r="C289">
        <v>65</v>
      </c>
      <c r="D289">
        <v>7.7</v>
      </c>
      <c r="E289">
        <v>103</v>
      </c>
      <c r="F289">
        <v>67</v>
      </c>
      <c r="G289" t="s">
        <v>7</v>
      </c>
      <c r="H289" s="1" t="str">
        <f t="shared" si="20"/>
        <v>10-20</v>
      </c>
      <c r="I289" s="1" t="str">
        <f t="shared" si="21"/>
        <v>Normal</v>
      </c>
      <c r="J289" s="1" t="str">
        <f t="shared" si="22"/>
        <v>Normal</v>
      </c>
      <c r="K289" s="1" t="str">
        <f t="shared" si="23"/>
        <v>Low</v>
      </c>
      <c r="L289" s="1" t="str">
        <f t="shared" si="24"/>
        <v>High</v>
      </c>
    </row>
    <row r="290" spans="1:12" x14ac:dyDescent="0.25">
      <c r="A290">
        <v>26</v>
      </c>
      <c r="B290">
        <v>85</v>
      </c>
      <c r="C290">
        <v>60</v>
      </c>
      <c r="D290">
        <v>6</v>
      </c>
      <c r="E290">
        <v>101</v>
      </c>
      <c r="F290">
        <v>86</v>
      </c>
      <c r="G290" t="s">
        <v>9</v>
      </c>
      <c r="H290" s="1" t="str">
        <f t="shared" si="20"/>
        <v>20-30</v>
      </c>
      <c r="I290" s="1" t="str">
        <f t="shared" si="21"/>
        <v>Normal</v>
      </c>
      <c r="J290" s="1" t="str">
        <f t="shared" si="22"/>
        <v>Normal</v>
      </c>
      <c r="K290" s="1" t="str">
        <f t="shared" si="23"/>
        <v>High</v>
      </c>
      <c r="L290" s="1" t="str">
        <f t="shared" si="24"/>
        <v>High</v>
      </c>
    </row>
    <row r="291" spans="1:12" x14ac:dyDescent="0.25">
      <c r="A291">
        <v>50</v>
      </c>
      <c r="B291">
        <v>120</v>
      </c>
      <c r="C291">
        <v>80</v>
      </c>
      <c r="D291">
        <v>7.7</v>
      </c>
      <c r="E291">
        <v>98</v>
      </c>
      <c r="F291">
        <v>70</v>
      </c>
      <c r="G291" t="s">
        <v>8</v>
      </c>
      <c r="H291" s="1" t="str">
        <f t="shared" si="20"/>
        <v>40-50</v>
      </c>
      <c r="I291" s="1" t="str">
        <f t="shared" si="21"/>
        <v>Pre-High</v>
      </c>
      <c r="J291" s="1" t="str">
        <f t="shared" si="22"/>
        <v>Normal</v>
      </c>
      <c r="K291" s="1" t="str">
        <f t="shared" si="23"/>
        <v>Normal</v>
      </c>
      <c r="L291" s="1" t="str">
        <f t="shared" si="24"/>
        <v>Normal</v>
      </c>
    </row>
    <row r="292" spans="1:12" x14ac:dyDescent="0.25">
      <c r="A292">
        <v>19</v>
      </c>
      <c r="B292">
        <v>90</v>
      </c>
      <c r="C292">
        <v>70</v>
      </c>
      <c r="D292">
        <v>7.7</v>
      </c>
      <c r="E292">
        <v>98</v>
      </c>
      <c r="F292">
        <v>80</v>
      </c>
      <c r="G292" t="s">
        <v>8</v>
      </c>
      <c r="H292" s="1" t="str">
        <f t="shared" si="20"/>
        <v>10-20</v>
      </c>
      <c r="I292" s="1" t="str">
        <f t="shared" si="21"/>
        <v>Normal</v>
      </c>
      <c r="J292" s="1" t="str">
        <f t="shared" si="22"/>
        <v>Normal</v>
      </c>
      <c r="K292" s="1" t="str">
        <f t="shared" si="23"/>
        <v>Normal</v>
      </c>
      <c r="L292" s="1" t="str">
        <f t="shared" si="24"/>
        <v>Normal</v>
      </c>
    </row>
    <row r="293" spans="1:12" x14ac:dyDescent="0.25">
      <c r="A293">
        <v>30</v>
      </c>
      <c r="B293">
        <v>120</v>
      </c>
      <c r="C293">
        <v>80</v>
      </c>
      <c r="D293">
        <v>7.7</v>
      </c>
      <c r="E293">
        <v>98</v>
      </c>
      <c r="F293">
        <v>70</v>
      </c>
      <c r="G293" t="s">
        <v>8</v>
      </c>
      <c r="H293" s="1" t="str">
        <f t="shared" si="20"/>
        <v>20-30</v>
      </c>
      <c r="I293" s="1" t="str">
        <f t="shared" si="21"/>
        <v>Pre-High</v>
      </c>
      <c r="J293" s="1" t="str">
        <f t="shared" si="22"/>
        <v>Normal</v>
      </c>
      <c r="K293" s="1" t="str">
        <f t="shared" si="23"/>
        <v>Normal</v>
      </c>
      <c r="L293" s="1" t="str">
        <f t="shared" si="24"/>
        <v>Normal</v>
      </c>
    </row>
    <row r="294" spans="1:12" x14ac:dyDescent="0.25">
      <c r="A294">
        <v>31</v>
      </c>
      <c r="B294">
        <v>120</v>
      </c>
      <c r="C294">
        <v>60</v>
      </c>
      <c r="D294">
        <v>6.1</v>
      </c>
      <c r="E294">
        <v>98</v>
      </c>
      <c r="F294">
        <v>76</v>
      </c>
      <c r="G294" t="s">
        <v>8</v>
      </c>
      <c r="H294" s="1" t="str">
        <f t="shared" si="20"/>
        <v>30-40</v>
      </c>
      <c r="I294" s="1" t="str">
        <f t="shared" si="21"/>
        <v>Pre-High</v>
      </c>
      <c r="J294" s="1" t="str">
        <f t="shared" si="22"/>
        <v>Normal</v>
      </c>
      <c r="K294" s="1" t="str">
        <f t="shared" si="23"/>
        <v>Normal</v>
      </c>
      <c r="L294" s="1" t="str">
        <f t="shared" si="24"/>
        <v>Normal</v>
      </c>
    </row>
    <row r="295" spans="1:12" x14ac:dyDescent="0.25">
      <c r="A295">
        <v>23</v>
      </c>
      <c r="B295">
        <v>120</v>
      </c>
      <c r="C295">
        <v>80</v>
      </c>
      <c r="D295">
        <v>7.7</v>
      </c>
      <c r="E295">
        <v>98</v>
      </c>
      <c r="F295">
        <v>70</v>
      </c>
      <c r="G295" t="s">
        <v>8</v>
      </c>
      <c r="H295" s="1" t="str">
        <f t="shared" si="20"/>
        <v>20-30</v>
      </c>
      <c r="I295" s="1" t="str">
        <f t="shared" si="21"/>
        <v>Pre-High</v>
      </c>
      <c r="J295" s="1" t="str">
        <f t="shared" si="22"/>
        <v>Normal</v>
      </c>
      <c r="K295" s="1" t="str">
        <f t="shared" si="23"/>
        <v>Normal</v>
      </c>
      <c r="L295" s="1" t="str">
        <f t="shared" si="24"/>
        <v>Normal</v>
      </c>
    </row>
    <row r="296" spans="1:12" x14ac:dyDescent="0.25">
      <c r="A296">
        <v>29</v>
      </c>
      <c r="B296">
        <v>130</v>
      </c>
      <c r="C296">
        <v>70</v>
      </c>
      <c r="D296">
        <v>7.7</v>
      </c>
      <c r="E296">
        <v>98</v>
      </c>
      <c r="F296">
        <v>78</v>
      </c>
      <c r="G296" t="s">
        <v>9</v>
      </c>
      <c r="H296" s="1" t="str">
        <f t="shared" si="20"/>
        <v>20-30</v>
      </c>
      <c r="I296" s="1" t="str">
        <f t="shared" si="21"/>
        <v>Pre-High</v>
      </c>
      <c r="J296" s="1" t="str">
        <f t="shared" si="22"/>
        <v>Normal</v>
      </c>
      <c r="K296" s="1" t="str">
        <f t="shared" si="23"/>
        <v>Normal</v>
      </c>
      <c r="L296" s="1" t="str">
        <f t="shared" si="24"/>
        <v>Normal</v>
      </c>
    </row>
    <row r="297" spans="1:12" x14ac:dyDescent="0.25">
      <c r="A297">
        <v>17</v>
      </c>
      <c r="B297">
        <v>85</v>
      </c>
      <c r="C297">
        <v>60</v>
      </c>
      <c r="D297">
        <v>6.3</v>
      </c>
      <c r="E297">
        <v>102</v>
      </c>
      <c r="F297">
        <v>86</v>
      </c>
      <c r="G297" t="s">
        <v>7</v>
      </c>
      <c r="H297" s="1" t="str">
        <f t="shared" si="20"/>
        <v>10-20</v>
      </c>
      <c r="I297" s="1" t="str">
        <f t="shared" si="21"/>
        <v>Normal</v>
      </c>
      <c r="J297" s="1" t="str">
        <f t="shared" si="22"/>
        <v>Normal</v>
      </c>
      <c r="K297" s="1" t="str">
        <f t="shared" si="23"/>
        <v>High</v>
      </c>
      <c r="L297" s="1" t="str">
        <f t="shared" si="24"/>
        <v>High</v>
      </c>
    </row>
    <row r="298" spans="1:12" x14ac:dyDescent="0.25">
      <c r="A298">
        <v>32</v>
      </c>
      <c r="B298">
        <v>120</v>
      </c>
      <c r="C298">
        <v>90</v>
      </c>
      <c r="D298">
        <v>7.7</v>
      </c>
      <c r="E298">
        <v>98</v>
      </c>
      <c r="F298">
        <v>70</v>
      </c>
      <c r="G298" t="s">
        <v>8</v>
      </c>
      <c r="H298" s="1" t="str">
        <f t="shared" si="20"/>
        <v>30-40</v>
      </c>
      <c r="I298" s="1" t="str">
        <f t="shared" si="21"/>
        <v>High</v>
      </c>
      <c r="J298" s="1" t="str">
        <f t="shared" si="22"/>
        <v>Normal</v>
      </c>
      <c r="K298" s="1" t="str">
        <f t="shared" si="23"/>
        <v>Normal</v>
      </c>
      <c r="L298" s="1" t="str">
        <f t="shared" si="24"/>
        <v>Normal</v>
      </c>
    </row>
    <row r="299" spans="1:12" x14ac:dyDescent="0.25">
      <c r="A299">
        <v>42</v>
      </c>
      <c r="B299">
        <v>120</v>
      </c>
      <c r="C299">
        <v>80</v>
      </c>
      <c r="D299">
        <v>7.7</v>
      </c>
      <c r="E299">
        <v>98</v>
      </c>
      <c r="F299">
        <v>70</v>
      </c>
      <c r="G299" t="s">
        <v>8</v>
      </c>
      <c r="H299" s="1" t="str">
        <f t="shared" si="20"/>
        <v>40-50</v>
      </c>
      <c r="I299" s="1" t="str">
        <f t="shared" si="21"/>
        <v>Pre-High</v>
      </c>
      <c r="J299" s="1" t="str">
        <f t="shared" si="22"/>
        <v>Normal</v>
      </c>
      <c r="K299" s="1" t="str">
        <f t="shared" si="23"/>
        <v>Normal</v>
      </c>
      <c r="L299" s="1" t="str">
        <f t="shared" si="24"/>
        <v>Normal</v>
      </c>
    </row>
    <row r="300" spans="1:12" x14ac:dyDescent="0.25">
      <c r="A300">
        <v>23</v>
      </c>
      <c r="B300">
        <v>90</v>
      </c>
      <c r="C300">
        <v>60</v>
      </c>
      <c r="D300">
        <v>7.7</v>
      </c>
      <c r="E300">
        <v>98</v>
      </c>
      <c r="F300">
        <v>76</v>
      </c>
      <c r="G300" t="s">
        <v>8</v>
      </c>
      <c r="H300" s="1" t="str">
        <f t="shared" si="20"/>
        <v>20-30</v>
      </c>
      <c r="I300" s="1" t="str">
        <f t="shared" si="21"/>
        <v>Normal</v>
      </c>
      <c r="J300" s="1" t="str">
        <f t="shared" si="22"/>
        <v>Normal</v>
      </c>
      <c r="K300" s="1" t="str">
        <f t="shared" si="23"/>
        <v>Normal</v>
      </c>
      <c r="L300" s="1" t="str">
        <f t="shared" si="24"/>
        <v>Normal</v>
      </c>
    </row>
    <row r="301" spans="1:12" x14ac:dyDescent="0.25">
      <c r="A301">
        <v>19</v>
      </c>
      <c r="B301">
        <v>120</v>
      </c>
      <c r="C301">
        <v>80</v>
      </c>
      <c r="D301">
        <v>7</v>
      </c>
      <c r="E301">
        <v>98</v>
      </c>
      <c r="F301">
        <v>70</v>
      </c>
      <c r="G301" t="s">
        <v>9</v>
      </c>
      <c r="H301" s="1" t="str">
        <f t="shared" si="20"/>
        <v>10-20</v>
      </c>
      <c r="I301" s="1" t="str">
        <f t="shared" si="21"/>
        <v>Pre-High</v>
      </c>
      <c r="J301" s="1" t="str">
        <f t="shared" si="22"/>
        <v>Normal</v>
      </c>
      <c r="K301" s="1" t="str">
        <f t="shared" si="23"/>
        <v>Normal</v>
      </c>
      <c r="L301" s="1" t="str">
        <f t="shared" si="24"/>
        <v>Normal</v>
      </c>
    </row>
    <row r="302" spans="1:12" x14ac:dyDescent="0.25">
      <c r="A302">
        <v>15</v>
      </c>
      <c r="B302">
        <v>75</v>
      </c>
      <c r="C302">
        <v>49</v>
      </c>
      <c r="D302">
        <v>7.7</v>
      </c>
      <c r="E302">
        <v>98</v>
      </c>
      <c r="F302">
        <v>77</v>
      </c>
      <c r="G302" t="s">
        <v>8</v>
      </c>
      <c r="H302" s="1" t="str">
        <f t="shared" si="20"/>
        <v>10-20</v>
      </c>
      <c r="I302" s="1" t="str">
        <f t="shared" si="21"/>
        <v>Low BP</v>
      </c>
      <c r="J302" s="1" t="str">
        <f t="shared" si="22"/>
        <v>Normal</v>
      </c>
      <c r="K302" s="1" t="str">
        <f t="shared" si="23"/>
        <v>Normal</v>
      </c>
      <c r="L302" s="1" t="str">
        <f t="shared" si="24"/>
        <v>Normal</v>
      </c>
    </row>
    <row r="303" spans="1:12" x14ac:dyDescent="0.25">
      <c r="A303">
        <v>40</v>
      </c>
      <c r="B303">
        <v>120</v>
      </c>
      <c r="C303">
        <v>75</v>
      </c>
      <c r="D303">
        <v>7.7</v>
      </c>
      <c r="E303">
        <v>98</v>
      </c>
      <c r="F303">
        <v>70</v>
      </c>
      <c r="G303" t="s">
        <v>7</v>
      </c>
      <c r="H303" s="1" t="str">
        <f t="shared" si="20"/>
        <v>30-40</v>
      </c>
      <c r="I303" s="1" t="str">
        <f t="shared" si="21"/>
        <v>Pre-High</v>
      </c>
      <c r="J303" s="1" t="str">
        <f t="shared" si="22"/>
        <v>Normal</v>
      </c>
      <c r="K303" s="1" t="str">
        <f t="shared" si="23"/>
        <v>Normal</v>
      </c>
      <c r="L303" s="1" t="str">
        <f t="shared" si="24"/>
        <v>Normal</v>
      </c>
    </row>
    <row r="304" spans="1:12" x14ac:dyDescent="0.25">
      <c r="A304">
        <v>48</v>
      </c>
      <c r="B304">
        <v>120</v>
      </c>
      <c r="C304">
        <v>80</v>
      </c>
      <c r="D304">
        <v>11</v>
      </c>
      <c r="E304">
        <v>98</v>
      </c>
      <c r="F304">
        <v>88</v>
      </c>
      <c r="G304" t="s">
        <v>7</v>
      </c>
      <c r="H304" s="1" t="str">
        <f t="shared" si="20"/>
        <v>40-50</v>
      </c>
      <c r="I304" s="1" t="str">
        <f t="shared" si="21"/>
        <v>Pre-High</v>
      </c>
      <c r="J304" s="1" t="str">
        <f t="shared" si="22"/>
        <v>Slightly High</v>
      </c>
      <c r="K304" s="1" t="str">
        <f t="shared" si="23"/>
        <v>High</v>
      </c>
      <c r="L304" s="1" t="str">
        <f t="shared" si="24"/>
        <v>Normal</v>
      </c>
    </row>
    <row r="305" spans="1:12" x14ac:dyDescent="0.25">
      <c r="A305">
        <v>15</v>
      </c>
      <c r="B305">
        <v>120</v>
      </c>
      <c r="C305">
        <v>80</v>
      </c>
      <c r="D305">
        <v>7.7</v>
      </c>
      <c r="E305">
        <v>98</v>
      </c>
      <c r="F305">
        <v>70</v>
      </c>
      <c r="G305" t="s">
        <v>8</v>
      </c>
      <c r="H305" s="1" t="str">
        <f t="shared" si="20"/>
        <v>10-20</v>
      </c>
      <c r="I305" s="1" t="str">
        <f t="shared" si="21"/>
        <v>Pre-High</v>
      </c>
      <c r="J305" s="1" t="str">
        <f t="shared" si="22"/>
        <v>Normal</v>
      </c>
      <c r="K305" s="1" t="str">
        <f t="shared" si="23"/>
        <v>Normal</v>
      </c>
      <c r="L305" s="1" t="str">
        <f t="shared" si="24"/>
        <v>Normal</v>
      </c>
    </row>
    <row r="306" spans="1:12" x14ac:dyDescent="0.25">
      <c r="A306">
        <v>25</v>
      </c>
      <c r="B306">
        <v>120</v>
      </c>
      <c r="C306">
        <v>80</v>
      </c>
      <c r="D306">
        <v>7.7</v>
      </c>
      <c r="E306">
        <v>98</v>
      </c>
      <c r="F306">
        <v>66</v>
      </c>
      <c r="G306" t="s">
        <v>8</v>
      </c>
      <c r="H306" s="1" t="str">
        <f t="shared" si="20"/>
        <v>20-30</v>
      </c>
      <c r="I306" s="1" t="str">
        <f t="shared" si="21"/>
        <v>Pre-High</v>
      </c>
      <c r="J306" s="1" t="str">
        <f t="shared" si="22"/>
        <v>Normal</v>
      </c>
      <c r="K306" s="1" t="str">
        <f t="shared" si="23"/>
        <v>Low</v>
      </c>
      <c r="L306" s="1" t="str">
        <f t="shared" si="24"/>
        <v>Normal</v>
      </c>
    </row>
    <row r="307" spans="1:12" x14ac:dyDescent="0.25">
      <c r="A307">
        <v>22</v>
      </c>
      <c r="B307">
        <v>100</v>
      </c>
      <c r="C307">
        <v>65</v>
      </c>
      <c r="D307">
        <v>6.9</v>
      </c>
      <c r="E307">
        <v>98</v>
      </c>
      <c r="F307">
        <v>80</v>
      </c>
      <c r="G307" t="s">
        <v>8</v>
      </c>
      <c r="H307" s="1" t="str">
        <f t="shared" si="20"/>
        <v>20-30</v>
      </c>
      <c r="I307" s="1" t="str">
        <f t="shared" si="21"/>
        <v>Normal</v>
      </c>
      <c r="J307" s="1" t="str">
        <f t="shared" si="22"/>
        <v>Normal</v>
      </c>
      <c r="K307" s="1" t="str">
        <f t="shared" si="23"/>
        <v>Normal</v>
      </c>
      <c r="L307" s="1" t="str">
        <f t="shared" si="24"/>
        <v>Normal</v>
      </c>
    </row>
    <row r="308" spans="1:12" x14ac:dyDescent="0.25">
      <c r="A308">
        <v>12</v>
      </c>
      <c r="B308">
        <v>120</v>
      </c>
      <c r="C308">
        <v>95</v>
      </c>
      <c r="D308">
        <v>6.9</v>
      </c>
      <c r="E308">
        <v>98</v>
      </c>
      <c r="F308">
        <v>60</v>
      </c>
      <c r="G308" t="s">
        <v>8</v>
      </c>
      <c r="H308" s="1" t="str">
        <f t="shared" si="20"/>
        <v>10-20</v>
      </c>
      <c r="I308" s="1" t="str">
        <f t="shared" si="21"/>
        <v>High</v>
      </c>
      <c r="J308" s="1" t="str">
        <f t="shared" si="22"/>
        <v>Normal</v>
      </c>
      <c r="K308" s="1" t="str">
        <f t="shared" si="23"/>
        <v>Low</v>
      </c>
      <c r="L308" s="1" t="str">
        <f t="shared" si="24"/>
        <v>Normal</v>
      </c>
    </row>
    <row r="309" spans="1:12" x14ac:dyDescent="0.25">
      <c r="A309">
        <v>35</v>
      </c>
      <c r="B309">
        <v>100</v>
      </c>
      <c r="C309">
        <v>70</v>
      </c>
      <c r="D309">
        <v>6.9</v>
      </c>
      <c r="E309">
        <v>98</v>
      </c>
      <c r="F309">
        <v>60</v>
      </c>
      <c r="G309" t="s">
        <v>8</v>
      </c>
      <c r="H309" s="1" t="str">
        <f t="shared" si="20"/>
        <v>30-40</v>
      </c>
      <c r="I309" s="1" t="str">
        <f t="shared" si="21"/>
        <v>Normal</v>
      </c>
      <c r="J309" s="1" t="str">
        <f t="shared" si="22"/>
        <v>Normal</v>
      </c>
      <c r="K309" s="1" t="str">
        <f t="shared" si="23"/>
        <v>Low</v>
      </c>
      <c r="L309" s="1" t="str">
        <f t="shared" si="24"/>
        <v>Normal</v>
      </c>
    </row>
    <row r="310" spans="1:12" x14ac:dyDescent="0.25">
      <c r="A310">
        <v>19</v>
      </c>
      <c r="B310">
        <v>120</v>
      </c>
      <c r="C310">
        <v>85</v>
      </c>
      <c r="D310">
        <v>6.9</v>
      </c>
      <c r="E310">
        <v>98</v>
      </c>
      <c r="F310">
        <v>60</v>
      </c>
      <c r="G310" t="s">
        <v>8</v>
      </c>
      <c r="H310" s="1" t="str">
        <f t="shared" si="20"/>
        <v>10-20</v>
      </c>
      <c r="I310" s="1" t="str">
        <f t="shared" si="21"/>
        <v>Pre-High</v>
      </c>
      <c r="J310" s="1" t="str">
        <f t="shared" si="22"/>
        <v>Normal</v>
      </c>
      <c r="K310" s="1" t="str">
        <f t="shared" si="23"/>
        <v>Low</v>
      </c>
      <c r="L310" s="1" t="str">
        <f t="shared" si="24"/>
        <v>Normal</v>
      </c>
    </row>
    <row r="311" spans="1:12" x14ac:dyDescent="0.25">
      <c r="A311">
        <v>60</v>
      </c>
      <c r="B311">
        <v>90</v>
      </c>
      <c r="C311">
        <v>65</v>
      </c>
      <c r="D311">
        <v>6.9</v>
      </c>
      <c r="E311">
        <v>98</v>
      </c>
      <c r="F311">
        <v>77</v>
      </c>
      <c r="G311" t="s">
        <v>8</v>
      </c>
      <c r="H311" s="1" t="str">
        <f t="shared" si="20"/>
        <v>50+</v>
      </c>
      <c r="I311" s="1" t="str">
        <f t="shared" si="21"/>
        <v>Normal</v>
      </c>
      <c r="J311" s="1" t="str">
        <f t="shared" si="22"/>
        <v>Normal</v>
      </c>
      <c r="K311" s="1" t="str">
        <f t="shared" si="23"/>
        <v>Normal</v>
      </c>
      <c r="L311" s="1" t="str">
        <f t="shared" si="24"/>
        <v>Normal</v>
      </c>
    </row>
    <row r="312" spans="1:12" x14ac:dyDescent="0.25">
      <c r="A312">
        <v>55</v>
      </c>
      <c r="B312">
        <v>120</v>
      </c>
      <c r="C312">
        <v>90</v>
      </c>
      <c r="D312">
        <v>6.9</v>
      </c>
      <c r="E312">
        <v>98</v>
      </c>
      <c r="F312">
        <v>76</v>
      </c>
      <c r="G312" t="s">
        <v>8</v>
      </c>
      <c r="H312" s="1" t="str">
        <f t="shared" si="20"/>
        <v>50+</v>
      </c>
      <c r="I312" s="1" t="str">
        <f t="shared" si="21"/>
        <v>High</v>
      </c>
      <c r="J312" s="1" t="str">
        <f t="shared" si="22"/>
        <v>Normal</v>
      </c>
      <c r="K312" s="1" t="str">
        <f t="shared" si="23"/>
        <v>Normal</v>
      </c>
      <c r="L312" s="1" t="str">
        <f t="shared" si="24"/>
        <v>Normal</v>
      </c>
    </row>
    <row r="313" spans="1:12" x14ac:dyDescent="0.25">
      <c r="A313">
        <v>35</v>
      </c>
      <c r="B313">
        <v>90</v>
      </c>
      <c r="C313">
        <v>65</v>
      </c>
      <c r="D313">
        <v>6.9</v>
      </c>
      <c r="E313">
        <v>98</v>
      </c>
      <c r="F313">
        <v>75</v>
      </c>
      <c r="G313" t="s">
        <v>8</v>
      </c>
      <c r="H313" s="1" t="str">
        <f t="shared" si="20"/>
        <v>30-40</v>
      </c>
      <c r="I313" s="1" t="str">
        <f t="shared" si="21"/>
        <v>Normal</v>
      </c>
      <c r="J313" s="1" t="str">
        <f t="shared" si="22"/>
        <v>Normal</v>
      </c>
      <c r="K313" s="1" t="str">
        <f t="shared" si="23"/>
        <v>Normal</v>
      </c>
      <c r="L313" s="1" t="str">
        <f t="shared" si="24"/>
        <v>Normal</v>
      </c>
    </row>
    <row r="314" spans="1:12" x14ac:dyDescent="0.25">
      <c r="A314">
        <v>51</v>
      </c>
      <c r="B314">
        <v>85</v>
      </c>
      <c r="C314">
        <v>60</v>
      </c>
      <c r="D314">
        <v>6.9</v>
      </c>
      <c r="E314">
        <v>98</v>
      </c>
      <c r="F314">
        <v>66</v>
      </c>
      <c r="G314" t="s">
        <v>8</v>
      </c>
      <c r="H314" s="1" t="str">
        <f t="shared" si="20"/>
        <v>50+</v>
      </c>
      <c r="I314" s="1" t="str">
        <f t="shared" si="21"/>
        <v>Normal</v>
      </c>
      <c r="J314" s="1" t="str">
        <f t="shared" si="22"/>
        <v>Normal</v>
      </c>
      <c r="K314" s="1" t="str">
        <f t="shared" si="23"/>
        <v>Low</v>
      </c>
      <c r="L314" s="1" t="str">
        <f t="shared" si="24"/>
        <v>Normal</v>
      </c>
    </row>
    <row r="315" spans="1:12" x14ac:dyDescent="0.25">
      <c r="A315">
        <v>62</v>
      </c>
      <c r="B315">
        <v>120</v>
      </c>
      <c r="C315">
        <v>80</v>
      </c>
      <c r="D315">
        <v>6.9</v>
      </c>
      <c r="E315">
        <v>98</v>
      </c>
      <c r="F315">
        <v>66</v>
      </c>
      <c r="G315" t="s">
        <v>8</v>
      </c>
      <c r="H315" s="1" t="str">
        <f t="shared" si="20"/>
        <v>50+</v>
      </c>
      <c r="I315" s="1" t="str">
        <f t="shared" si="21"/>
        <v>Pre-High</v>
      </c>
      <c r="J315" s="1" t="str">
        <f t="shared" si="22"/>
        <v>Normal</v>
      </c>
      <c r="K315" s="1" t="str">
        <f t="shared" si="23"/>
        <v>Low</v>
      </c>
      <c r="L315" s="1" t="str">
        <f t="shared" si="24"/>
        <v>Normal</v>
      </c>
    </row>
    <row r="316" spans="1:12" x14ac:dyDescent="0.25">
      <c r="A316">
        <v>25</v>
      </c>
      <c r="B316">
        <v>90</v>
      </c>
      <c r="C316">
        <v>70</v>
      </c>
      <c r="D316">
        <v>6.9</v>
      </c>
      <c r="E316">
        <v>98</v>
      </c>
      <c r="F316">
        <v>66</v>
      </c>
      <c r="G316" t="s">
        <v>8</v>
      </c>
      <c r="H316" s="1" t="str">
        <f t="shared" si="20"/>
        <v>20-30</v>
      </c>
      <c r="I316" s="1" t="str">
        <f t="shared" si="21"/>
        <v>Normal</v>
      </c>
      <c r="J316" s="1" t="str">
        <f t="shared" si="22"/>
        <v>Normal</v>
      </c>
      <c r="K316" s="1" t="str">
        <f t="shared" si="23"/>
        <v>Low</v>
      </c>
      <c r="L316" s="1" t="str">
        <f t="shared" si="24"/>
        <v>Normal</v>
      </c>
    </row>
    <row r="317" spans="1:12" x14ac:dyDescent="0.25">
      <c r="A317">
        <v>21</v>
      </c>
      <c r="B317">
        <v>120</v>
      </c>
      <c r="C317">
        <v>80</v>
      </c>
      <c r="D317">
        <v>6.9</v>
      </c>
      <c r="E317">
        <v>98</v>
      </c>
      <c r="F317">
        <v>88</v>
      </c>
      <c r="G317" t="s">
        <v>8</v>
      </c>
      <c r="H317" s="1" t="str">
        <f t="shared" si="20"/>
        <v>20-30</v>
      </c>
      <c r="I317" s="1" t="str">
        <f t="shared" si="21"/>
        <v>Pre-High</v>
      </c>
      <c r="J317" s="1" t="str">
        <f t="shared" si="22"/>
        <v>Normal</v>
      </c>
      <c r="K317" s="1" t="str">
        <f t="shared" si="23"/>
        <v>High</v>
      </c>
      <c r="L317" s="1" t="str">
        <f t="shared" si="24"/>
        <v>Normal</v>
      </c>
    </row>
    <row r="318" spans="1:12" x14ac:dyDescent="0.25">
      <c r="A318">
        <v>22</v>
      </c>
      <c r="B318">
        <v>120</v>
      </c>
      <c r="C318">
        <v>60</v>
      </c>
      <c r="D318">
        <v>15</v>
      </c>
      <c r="E318">
        <v>98</v>
      </c>
      <c r="F318">
        <v>80</v>
      </c>
      <c r="G318" t="s">
        <v>7</v>
      </c>
      <c r="H318" s="1" t="str">
        <f t="shared" si="20"/>
        <v>20-30</v>
      </c>
      <c r="I318" s="1" t="str">
        <f t="shared" si="21"/>
        <v>Pre-High</v>
      </c>
      <c r="J318" s="1" t="str">
        <f t="shared" si="22"/>
        <v>High</v>
      </c>
      <c r="K318" s="1" t="str">
        <f t="shared" si="23"/>
        <v>Normal</v>
      </c>
      <c r="L318" s="1" t="str">
        <f t="shared" si="24"/>
        <v>Normal</v>
      </c>
    </row>
    <row r="319" spans="1:12" x14ac:dyDescent="0.25">
      <c r="A319">
        <v>55</v>
      </c>
      <c r="B319">
        <v>120</v>
      </c>
      <c r="C319">
        <v>90</v>
      </c>
      <c r="D319">
        <v>18</v>
      </c>
      <c r="E319">
        <v>98</v>
      </c>
      <c r="F319">
        <v>60</v>
      </c>
      <c r="G319" t="s">
        <v>7</v>
      </c>
      <c r="H319" s="1" t="str">
        <f t="shared" si="20"/>
        <v>50+</v>
      </c>
      <c r="I319" s="1" t="str">
        <f t="shared" si="21"/>
        <v>High</v>
      </c>
      <c r="J319" s="1" t="str">
        <f t="shared" si="22"/>
        <v>High</v>
      </c>
      <c r="K319" s="1" t="str">
        <f t="shared" si="23"/>
        <v>Low</v>
      </c>
      <c r="L319" s="1" t="str">
        <f t="shared" si="24"/>
        <v>Normal</v>
      </c>
    </row>
    <row r="320" spans="1:12" x14ac:dyDescent="0.25">
      <c r="A320">
        <v>54</v>
      </c>
      <c r="B320">
        <v>130</v>
      </c>
      <c r="C320">
        <v>70</v>
      </c>
      <c r="D320">
        <v>12</v>
      </c>
      <c r="E320">
        <v>98</v>
      </c>
      <c r="F320">
        <v>67</v>
      </c>
      <c r="G320" t="s">
        <v>9</v>
      </c>
      <c r="H320" s="1" t="str">
        <f t="shared" si="20"/>
        <v>50+</v>
      </c>
      <c r="I320" s="1" t="str">
        <f t="shared" si="21"/>
        <v>Pre-High</v>
      </c>
      <c r="J320" s="1" t="str">
        <f t="shared" si="22"/>
        <v>High</v>
      </c>
      <c r="K320" s="1" t="str">
        <f t="shared" si="23"/>
        <v>Low</v>
      </c>
      <c r="L320" s="1" t="str">
        <f t="shared" si="24"/>
        <v>Normal</v>
      </c>
    </row>
    <row r="321" spans="1:12" x14ac:dyDescent="0.25">
      <c r="A321">
        <v>35</v>
      </c>
      <c r="B321">
        <v>85</v>
      </c>
      <c r="C321">
        <v>60</v>
      </c>
      <c r="D321">
        <v>19</v>
      </c>
      <c r="E321">
        <v>98</v>
      </c>
      <c r="F321">
        <v>86</v>
      </c>
      <c r="G321" t="s">
        <v>7</v>
      </c>
      <c r="H321" s="1" t="str">
        <f t="shared" si="20"/>
        <v>30-40</v>
      </c>
      <c r="I321" s="1" t="str">
        <f t="shared" si="21"/>
        <v>Normal</v>
      </c>
      <c r="J321" s="1" t="str">
        <f t="shared" si="22"/>
        <v>High</v>
      </c>
      <c r="K321" s="1" t="str">
        <f t="shared" si="23"/>
        <v>High</v>
      </c>
      <c r="L321" s="1" t="str">
        <f t="shared" si="24"/>
        <v>Normal</v>
      </c>
    </row>
    <row r="322" spans="1:12" x14ac:dyDescent="0.25">
      <c r="A322">
        <v>43</v>
      </c>
      <c r="B322">
        <v>120</v>
      </c>
      <c r="C322">
        <v>90</v>
      </c>
      <c r="D322">
        <v>18</v>
      </c>
      <c r="E322">
        <v>98</v>
      </c>
      <c r="F322">
        <v>70</v>
      </c>
      <c r="G322" t="s">
        <v>7</v>
      </c>
      <c r="H322" s="1" t="str">
        <f t="shared" si="20"/>
        <v>40-50</v>
      </c>
      <c r="I322" s="1" t="str">
        <f t="shared" si="21"/>
        <v>High</v>
      </c>
      <c r="J322" s="1" t="str">
        <f t="shared" si="22"/>
        <v>High</v>
      </c>
      <c r="K322" s="1" t="str">
        <f t="shared" si="23"/>
        <v>Normal</v>
      </c>
      <c r="L322" s="1" t="str">
        <f t="shared" si="24"/>
        <v>Normal</v>
      </c>
    </row>
    <row r="323" spans="1:12" x14ac:dyDescent="0.25">
      <c r="A323">
        <v>12</v>
      </c>
      <c r="B323">
        <v>120</v>
      </c>
      <c r="C323">
        <v>80</v>
      </c>
      <c r="D323">
        <v>6.9</v>
      </c>
      <c r="E323">
        <v>98</v>
      </c>
      <c r="F323">
        <v>80</v>
      </c>
      <c r="G323" t="s">
        <v>8</v>
      </c>
      <c r="H323" s="1" t="str">
        <f t="shared" ref="H323:H386" si="25">IF(A323&lt;=20,"10-20",
 IF(A323&lt;=30,"20-30",
 IF(A323&lt;=40,"30-40",
 IF(A323&lt;=50,"40-50","50+"))))</f>
        <v>10-20</v>
      </c>
      <c r="I323" s="1" t="str">
        <f t="shared" ref="I323:I386" si="26">IF(AND(B323&lt;90,C323&lt;60),"Low BP",
 IF(AND(B323&lt;120,C323&lt;80),"Normal",
 IF(AND(B323&lt;140,C323&lt;90),"Pre-High",
 IF(AND(B323&lt;160,C323&lt;100),"High","Critical"))))</f>
        <v>Pre-High</v>
      </c>
      <c r="J323" s="1" t="str">
        <f t="shared" ref="J323:J386" si="27">IF(D323&lt;8,"Normal",
 IF(D323&lt;12,"Slightly High","High"))</f>
        <v>Normal</v>
      </c>
      <c r="K323" s="1" t="str">
        <f t="shared" ref="K323:K386" si="28">IF(F323&lt;70,"Low",
 IF(F323&lt;=85,"Normal","High"))</f>
        <v>Normal</v>
      </c>
      <c r="L323" s="1" t="str">
        <f t="shared" ref="L323:L386" si="29">IF(E323&lt;97.5,"Low",
 IF(E323&lt;=99,"Normal","High"))</f>
        <v>Normal</v>
      </c>
    </row>
    <row r="324" spans="1:12" x14ac:dyDescent="0.25">
      <c r="A324">
        <v>65</v>
      </c>
      <c r="B324">
        <v>90</v>
      </c>
      <c r="C324">
        <v>60</v>
      </c>
      <c r="D324">
        <v>6.9</v>
      </c>
      <c r="E324">
        <v>98</v>
      </c>
      <c r="F324">
        <v>70</v>
      </c>
      <c r="G324" t="s">
        <v>8</v>
      </c>
      <c r="H324" s="1" t="str">
        <f t="shared" si="25"/>
        <v>50+</v>
      </c>
      <c r="I324" s="1" t="str">
        <f t="shared" si="26"/>
        <v>Normal</v>
      </c>
      <c r="J324" s="1" t="str">
        <f t="shared" si="27"/>
        <v>Normal</v>
      </c>
      <c r="K324" s="1" t="str">
        <f t="shared" si="28"/>
        <v>Normal</v>
      </c>
      <c r="L324" s="1" t="str">
        <f t="shared" si="29"/>
        <v>Normal</v>
      </c>
    </row>
    <row r="325" spans="1:12" x14ac:dyDescent="0.25">
      <c r="A325">
        <v>60</v>
      </c>
      <c r="B325">
        <v>120</v>
      </c>
      <c r="C325">
        <v>80</v>
      </c>
      <c r="D325">
        <v>6.9</v>
      </c>
      <c r="E325">
        <v>98</v>
      </c>
      <c r="F325">
        <v>76</v>
      </c>
      <c r="G325" t="s">
        <v>8</v>
      </c>
      <c r="H325" s="1" t="str">
        <f t="shared" si="25"/>
        <v>50+</v>
      </c>
      <c r="I325" s="1" t="str">
        <f t="shared" si="26"/>
        <v>Pre-High</v>
      </c>
      <c r="J325" s="1" t="str">
        <f t="shared" si="27"/>
        <v>Normal</v>
      </c>
      <c r="K325" s="1" t="str">
        <f t="shared" si="28"/>
        <v>Normal</v>
      </c>
      <c r="L325" s="1" t="str">
        <f t="shared" si="29"/>
        <v>Normal</v>
      </c>
    </row>
    <row r="326" spans="1:12" x14ac:dyDescent="0.25">
      <c r="A326">
        <v>25</v>
      </c>
      <c r="B326">
        <v>120</v>
      </c>
      <c r="C326">
        <v>90</v>
      </c>
      <c r="D326">
        <v>6.9</v>
      </c>
      <c r="E326">
        <v>98</v>
      </c>
      <c r="F326">
        <v>70</v>
      </c>
      <c r="G326" t="s">
        <v>8</v>
      </c>
      <c r="H326" s="1" t="str">
        <f t="shared" si="25"/>
        <v>20-30</v>
      </c>
      <c r="I326" s="1" t="str">
        <f t="shared" si="26"/>
        <v>High</v>
      </c>
      <c r="J326" s="1" t="str">
        <f t="shared" si="27"/>
        <v>Normal</v>
      </c>
      <c r="K326" s="1" t="str">
        <f t="shared" si="28"/>
        <v>Normal</v>
      </c>
      <c r="L326" s="1" t="str">
        <f t="shared" si="29"/>
        <v>Normal</v>
      </c>
    </row>
    <row r="327" spans="1:12" x14ac:dyDescent="0.25">
      <c r="A327">
        <v>22</v>
      </c>
      <c r="B327">
        <v>90</v>
      </c>
      <c r="C327">
        <v>65</v>
      </c>
      <c r="D327">
        <v>6.9</v>
      </c>
      <c r="E327">
        <v>98</v>
      </c>
      <c r="F327">
        <v>78</v>
      </c>
      <c r="G327" t="s">
        <v>8</v>
      </c>
      <c r="H327" s="1" t="str">
        <f t="shared" si="25"/>
        <v>20-30</v>
      </c>
      <c r="I327" s="1" t="str">
        <f t="shared" si="26"/>
        <v>Normal</v>
      </c>
      <c r="J327" s="1" t="str">
        <f t="shared" si="27"/>
        <v>Normal</v>
      </c>
      <c r="K327" s="1" t="str">
        <f t="shared" si="28"/>
        <v>Normal</v>
      </c>
      <c r="L327" s="1" t="str">
        <f t="shared" si="29"/>
        <v>Normal</v>
      </c>
    </row>
    <row r="328" spans="1:12" x14ac:dyDescent="0.25">
      <c r="A328">
        <v>66</v>
      </c>
      <c r="B328">
        <v>85</v>
      </c>
      <c r="C328">
        <v>60</v>
      </c>
      <c r="D328">
        <v>6.9</v>
      </c>
      <c r="E328">
        <v>98</v>
      </c>
      <c r="F328">
        <v>86</v>
      </c>
      <c r="G328" t="s">
        <v>8</v>
      </c>
      <c r="H328" s="1" t="str">
        <f t="shared" si="25"/>
        <v>50+</v>
      </c>
      <c r="I328" s="1" t="str">
        <f t="shared" si="26"/>
        <v>Normal</v>
      </c>
      <c r="J328" s="1" t="str">
        <f t="shared" si="27"/>
        <v>Normal</v>
      </c>
      <c r="K328" s="1" t="str">
        <f t="shared" si="28"/>
        <v>High</v>
      </c>
      <c r="L328" s="1" t="str">
        <f t="shared" si="29"/>
        <v>Normal</v>
      </c>
    </row>
    <row r="329" spans="1:12" x14ac:dyDescent="0.25">
      <c r="A329">
        <v>56</v>
      </c>
      <c r="B329">
        <v>120</v>
      </c>
      <c r="C329">
        <v>80</v>
      </c>
      <c r="D329">
        <v>13</v>
      </c>
      <c r="E329">
        <v>98</v>
      </c>
      <c r="F329">
        <v>70</v>
      </c>
      <c r="G329" t="s">
        <v>7</v>
      </c>
      <c r="H329" s="1" t="str">
        <f t="shared" si="25"/>
        <v>50+</v>
      </c>
      <c r="I329" s="1" t="str">
        <f t="shared" si="26"/>
        <v>Pre-High</v>
      </c>
      <c r="J329" s="1" t="str">
        <f t="shared" si="27"/>
        <v>High</v>
      </c>
      <c r="K329" s="1" t="str">
        <f t="shared" si="28"/>
        <v>Normal</v>
      </c>
      <c r="L329" s="1" t="str">
        <f t="shared" si="29"/>
        <v>Normal</v>
      </c>
    </row>
    <row r="330" spans="1:12" x14ac:dyDescent="0.25">
      <c r="A330">
        <v>35</v>
      </c>
      <c r="B330">
        <v>90</v>
      </c>
      <c r="C330">
        <v>70</v>
      </c>
      <c r="D330">
        <v>6.9</v>
      </c>
      <c r="E330">
        <v>98</v>
      </c>
      <c r="F330">
        <v>70</v>
      </c>
      <c r="G330" t="s">
        <v>8</v>
      </c>
      <c r="H330" s="1" t="str">
        <f t="shared" si="25"/>
        <v>30-40</v>
      </c>
      <c r="I330" s="1" t="str">
        <f t="shared" si="26"/>
        <v>Normal</v>
      </c>
      <c r="J330" s="1" t="str">
        <f t="shared" si="27"/>
        <v>Normal</v>
      </c>
      <c r="K330" s="1" t="str">
        <f t="shared" si="28"/>
        <v>Normal</v>
      </c>
      <c r="L330" s="1" t="str">
        <f t="shared" si="29"/>
        <v>Normal</v>
      </c>
    </row>
    <row r="331" spans="1:12" x14ac:dyDescent="0.25">
      <c r="A331">
        <v>43</v>
      </c>
      <c r="B331">
        <v>120</v>
      </c>
      <c r="C331">
        <v>80</v>
      </c>
      <c r="D331">
        <v>15</v>
      </c>
      <c r="E331">
        <v>98</v>
      </c>
      <c r="F331">
        <v>76</v>
      </c>
      <c r="G331" t="s">
        <v>7</v>
      </c>
      <c r="H331" s="1" t="str">
        <f t="shared" si="25"/>
        <v>40-50</v>
      </c>
      <c r="I331" s="1" t="str">
        <f t="shared" si="26"/>
        <v>Pre-High</v>
      </c>
      <c r="J331" s="1" t="str">
        <f t="shared" si="27"/>
        <v>High</v>
      </c>
      <c r="K331" s="1" t="str">
        <f t="shared" si="28"/>
        <v>Normal</v>
      </c>
      <c r="L331" s="1" t="str">
        <f t="shared" si="29"/>
        <v>Normal</v>
      </c>
    </row>
    <row r="332" spans="1:12" x14ac:dyDescent="0.25">
      <c r="A332">
        <v>35</v>
      </c>
      <c r="B332">
        <v>120</v>
      </c>
      <c r="C332">
        <v>60</v>
      </c>
      <c r="D332">
        <v>6.9</v>
      </c>
      <c r="E332">
        <v>98</v>
      </c>
      <c r="F332">
        <v>70</v>
      </c>
      <c r="G332" t="s">
        <v>8</v>
      </c>
      <c r="H332" s="1" t="str">
        <f t="shared" si="25"/>
        <v>30-40</v>
      </c>
      <c r="I332" s="1" t="str">
        <f t="shared" si="26"/>
        <v>Pre-High</v>
      </c>
      <c r="J332" s="1" t="str">
        <f t="shared" si="27"/>
        <v>Normal</v>
      </c>
      <c r="K332" s="1" t="str">
        <f t="shared" si="28"/>
        <v>Normal</v>
      </c>
      <c r="L332" s="1" t="str">
        <f t="shared" si="29"/>
        <v>Normal</v>
      </c>
    </row>
    <row r="333" spans="1:12" x14ac:dyDescent="0.25">
      <c r="A333">
        <v>44</v>
      </c>
      <c r="B333">
        <v>120</v>
      </c>
      <c r="C333">
        <v>90</v>
      </c>
      <c r="D333">
        <v>16</v>
      </c>
      <c r="E333">
        <v>98</v>
      </c>
      <c r="F333">
        <v>80</v>
      </c>
      <c r="G333" t="s">
        <v>9</v>
      </c>
      <c r="H333" s="1" t="str">
        <f t="shared" si="25"/>
        <v>40-50</v>
      </c>
      <c r="I333" s="1" t="str">
        <f t="shared" si="26"/>
        <v>High</v>
      </c>
      <c r="J333" s="1" t="str">
        <f t="shared" si="27"/>
        <v>High</v>
      </c>
      <c r="K333" s="1" t="str">
        <f t="shared" si="28"/>
        <v>Normal</v>
      </c>
      <c r="L333" s="1" t="str">
        <f t="shared" si="29"/>
        <v>Normal</v>
      </c>
    </row>
    <row r="334" spans="1:12" x14ac:dyDescent="0.25">
      <c r="A334">
        <v>23</v>
      </c>
      <c r="B334">
        <v>130</v>
      </c>
      <c r="C334">
        <v>70</v>
      </c>
      <c r="D334">
        <v>6.9</v>
      </c>
      <c r="E334">
        <v>98</v>
      </c>
      <c r="F334">
        <v>70</v>
      </c>
      <c r="G334" t="s">
        <v>9</v>
      </c>
      <c r="H334" s="1" t="str">
        <f t="shared" si="25"/>
        <v>20-30</v>
      </c>
      <c r="I334" s="1" t="str">
        <f t="shared" si="26"/>
        <v>Pre-High</v>
      </c>
      <c r="J334" s="1" t="str">
        <f t="shared" si="27"/>
        <v>Normal</v>
      </c>
      <c r="K334" s="1" t="str">
        <f t="shared" si="28"/>
        <v>Normal</v>
      </c>
      <c r="L334" s="1" t="str">
        <f t="shared" si="29"/>
        <v>Normal</v>
      </c>
    </row>
    <row r="335" spans="1:12" x14ac:dyDescent="0.25">
      <c r="A335">
        <v>22</v>
      </c>
      <c r="B335">
        <v>85</v>
      </c>
      <c r="C335">
        <v>60</v>
      </c>
      <c r="D335">
        <v>6.9</v>
      </c>
      <c r="E335">
        <v>98</v>
      </c>
      <c r="F335">
        <v>76</v>
      </c>
      <c r="G335" t="s">
        <v>9</v>
      </c>
      <c r="H335" s="1" t="str">
        <f t="shared" si="25"/>
        <v>20-30</v>
      </c>
      <c r="I335" s="1" t="str">
        <f t="shared" si="26"/>
        <v>Normal</v>
      </c>
      <c r="J335" s="1" t="str">
        <f t="shared" si="27"/>
        <v>Normal</v>
      </c>
      <c r="K335" s="1" t="str">
        <f t="shared" si="28"/>
        <v>Normal</v>
      </c>
      <c r="L335" s="1" t="str">
        <f t="shared" si="29"/>
        <v>Normal</v>
      </c>
    </row>
    <row r="336" spans="1:12" x14ac:dyDescent="0.25">
      <c r="A336">
        <v>55</v>
      </c>
      <c r="B336">
        <v>120</v>
      </c>
      <c r="C336">
        <v>90</v>
      </c>
      <c r="D336">
        <v>12</v>
      </c>
      <c r="E336">
        <v>98</v>
      </c>
      <c r="F336">
        <v>70</v>
      </c>
      <c r="G336" t="s">
        <v>9</v>
      </c>
      <c r="H336" s="1" t="str">
        <f t="shared" si="25"/>
        <v>50+</v>
      </c>
      <c r="I336" s="1" t="str">
        <f t="shared" si="26"/>
        <v>High</v>
      </c>
      <c r="J336" s="1" t="str">
        <f t="shared" si="27"/>
        <v>High</v>
      </c>
      <c r="K336" s="1" t="str">
        <f t="shared" si="28"/>
        <v>Normal</v>
      </c>
      <c r="L336" s="1" t="str">
        <f t="shared" si="29"/>
        <v>Normal</v>
      </c>
    </row>
    <row r="337" spans="1:12" x14ac:dyDescent="0.25">
      <c r="A337">
        <v>35</v>
      </c>
      <c r="B337">
        <v>120</v>
      </c>
      <c r="C337">
        <v>80</v>
      </c>
      <c r="D337">
        <v>6.9</v>
      </c>
      <c r="E337">
        <v>98</v>
      </c>
      <c r="F337">
        <v>78</v>
      </c>
      <c r="G337" t="s">
        <v>9</v>
      </c>
      <c r="H337" s="1" t="str">
        <f t="shared" si="25"/>
        <v>30-40</v>
      </c>
      <c r="I337" s="1" t="str">
        <f t="shared" si="26"/>
        <v>Pre-High</v>
      </c>
      <c r="J337" s="1" t="str">
        <f t="shared" si="27"/>
        <v>Normal</v>
      </c>
      <c r="K337" s="1" t="str">
        <f t="shared" si="28"/>
        <v>Normal</v>
      </c>
      <c r="L337" s="1" t="str">
        <f t="shared" si="29"/>
        <v>Normal</v>
      </c>
    </row>
    <row r="338" spans="1:12" x14ac:dyDescent="0.25">
      <c r="A338">
        <v>21</v>
      </c>
      <c r="B338">
        <v>90</v>
      </c>
      <c r="C338">
        <v>60</v>
      </c>
      <c r="D338">
        <v>6.9</v>
      </c>
      <c r="E338">
        <v>98</v>
      </c>
      <c r="F338">
        <v>86</v>
      </c>
      <c r="G338" t="s">
        <v>9</v>
      </c>
      <c r="H338" s="1" t="str">
        <f t="shared" si="25"/>
        <v>20-30</v>
      </c>
      <c r="I338" s="1" t="str">
        <f t="shared" si="26"/>
        <v>Normal</v>
      </c>
      <c r="J338" s="1" t="str">
        <f t="shared" si="27"/>
        <v>Normal</v>
      </c>
      <c r="K338" s="1" t="str">
        <f t="shared" si="28"/>
        <v>High</v>
      </c>
      <c r="L338" s="1" t="str">
        <f t="shared" si="29"/>
        <v>Normal</v>
      </c>
    </row>
    <row r="339" spans="1:12" x14ac:dyDescent="0.25">
      <c r="A339">
        <v>45</v>
      </c>
      <c r="B339">
        <v>120</v>
      </c>
      <c r="C339">
        <v>80</v>
      </c>
      <c r="D339">
        <v>6.9</v>
      </c>
      <c r="E339">
        <v>103</v>
      </c>
      <c r="F339">
        <v>70</v>
      </c>
      <c r="G339" t="s">
        <v>8</v>
      </c>
      <c r="H339" s="1" t="str">
        <f t="shared" si="25"/>
        <v>40-50</v>
      </c>
      <c r="I339" s="1" t="str">
        <f t="shared" si="26"/>
        <v>Pre-High</v>
      </c>
      <c r="J339" s="1" t="str">
        <f t="shared" si="27"/>
        <v>Normal</v>
      </c>
      <c r="K339" s="1" t="str">
        <f t="shared" si="28"/>
        <v>Normal</v>
      </c>
      <c r="L339" s="1" t="str">
        <f t="shared" si="29"/>
        <v>High</v>
      </c>
    </row>
    <row r="340" spans="1:12" x14ac:dyDescent="0.25">
      <c r="A340">
        <v>70</v>
      </c>
      <c r="B340">
        <v>85</v>
      </c>
      <c r="C340">
        <v>60</v>
      </c>
      <c r="D340">
        <v>6.9</v>
      </c>
      <c r="E340">
        <v>102</v>
      </c>
      <c r="F340">
        <v>70</v>
      </c>
      <c r="G340" t="s">
        <v>8</v>
      </c>
      <c r="H340" s="1" t="str">
        <f t="shared" si="25"/>
        <v>50+</v>
      </c>
      <c r="I340" s="1" t="str">
        <f t="shared" si="26"/>
        <v>Normal</v>
      </c>
      <c r="J340" s="1" t="str">
        <f t="shared" si="27"/>
        <v>Normal</v>
      </c>
      <c r="K340" s="1" t="str">
        <f t="shared" si="28"/>
        <v>Normal</v>
      </c>
      <c r="L340" s="1" t="str">
        <f t="shared" si="29"/>
        <v>High</v>
      </c>
    </row>
    <row r="341" spans="1:12" x14ac:dyDescent="0.25">
      <c r="A341">
        <v>65</v>
      </c>
      <c r="B341">
        <v>120</v>
      </c>
      <c r="C341">
        <v>90</v>
      </c>
      <c r="D341">
        <v>6.9</v>
      </c>
      <c r="E341">
        <v>103</v>
      </c>
      <c r="F341">
        <v>76</v>
      </c>
      <c r="G341" t="s">
        <v>8</v>
      </c>
      <c r="H341" s="1" t="str">
        <f t="shared" si="25"/>
        <v>50+</v>
      </c>
      <c r="I341" s="1" t="str">
        <f t="shared" si="26"/>
        <v>High</v>
      </c>
      <c r="J341" s="1" t="str">
        <f t="shared" si="27"/>
        <v>Normal</v>
      </c>
      <c r="K341" s="1" t="str">
        <f t="shared" si="28"/>
        <v>Normal</v>
      </c>
      <c r="L341" s="1" t="str">
        <f t="shared" si="29"/>
        <v>High</v>
      </c>
    </row>
    <row r="342" spans="1:12" x14ac:dyDescent="0.25">
      <c r="A342">
        <v>55</v>
      </c>
      <c r="B342">
        <v>120</v>
      </c>
      <c r="C342">
        <v>80</v>
      </c>
      <c r="D342">
        <v>6.9</v>
      </c>
      <c r="E342">
        <v>102</v>
      </c>
      <c r="F342">
        <v>80</v>
      </c>
      <c r="G342" t="s">
        <v>8</v>
      </c>
      <c r="H342" s="1" t="str">
        <f t="shared" si="25"/>
        <v>50+</v>
      </c>
      <c r="I342" s="1" t="str">
        <f t="shared" si="26"/>
        <v>Pre-High</v>
      </c>
      <c r="J342" s="1" t="str">
        <f t="shared" si="27"/>
        <v>Normal</v>
      </c>
      <c r="K342" s="1" t="str">
        <f t="shared" si="28"/>
        <v>Normal</v>
      </c>
      <c r="L342" s="1" t="str">
        <f t="shared" si="29"/>
        <v>High</v>
      </c>
    </row>
    <row r="343" spans="1:12" x14ac:dyDescent="0.25">
      <c r="A343">
        <v>45</v>
      </c>
      <c r="B343">
        <v>90</v>
      </c>
      <c r="C343">
        <v>60</v>
      </c>
      <c r="D343">
        <v>18</v>
      </c>
      <c r="E343">
        <v>101</v>
      </c>
      <c r="F343">
        <v>70</v>
      </c>
      <c r="G343" t="s">
        <v>7</v>
      </c>
      <c r="H343" s="1" t="str">
        <f t="shared" si="25"/>
        <v>40-50</v>
      </c>
      <c r="I343" s="1" t="str">
        <f t="shared" si="26"/>
        <v>Normal</v>
      </c>
      <c r="J343" s="1" t="str">
        <f t="shared" si="27"/>
        <v>High</v>
      </c>
      <c r="K343" s="1" t="str">
        <f t="shared" si="28"/>
        <v>Normal</v>
      </c>
      <c r="L343" s="1" t="str">
        <f t="shared" si="29"/>
        <v>High</v>
      </c>
    </row>
    <row r="344" spans="1:12" x14ac:dyDescent="0.25">
      <c r="A344">
        <v>22</v>
      </c>
      <c r="B344">
        <v>120</v>
      </c>
      <c r="C344">
        <v>80</v>
      </c>
      <c r="D344">
        <v>6.9</v>
      </c>
      <c r="E344">
        <v>103</v>
      </c>
      <c r="F344">
        <v>76</v>
      </c>
      <c r="G344" t="s">
        <v>8</v>
      </c>
      <c r="H344" s="1" t="str">
        <f t="shared" si="25"/>
        <v>20-30</v>
      </c>
      <c r="I344" s="1" t="str">
        <f t="shared" si="26"/>
        <v>Pre-High</v>
      </c>
      <c r="J344" s="1" t="str">
        <f t="shared" si="27"/>
        <v>Normal</v>
      </c>
      <c r="K344" s="1" t="str">
        <f t="shared" si="28"/>
        <v>Normal</v>
      </c>
      <c r="L344" s="1" t="str">
        <f t="shared" si="29"/>
        <v>High</v>
      </c>
    </row>
    <row r="345" spans="1:12" x14ac:dyDescent="0.25">
      <c r="A345">
        <v>16</v>
      </c>
      <c r="B345">
        <v>90</v>
      </c>
      <c r="C345">
        <v>65</v>
      </c>
      <c r="D345">
        <v>6.9</v>
      </c>
      <c r="E345">
        <v>98</v>
      </c>
      <c r="F345">
        <v>76</v>
      </c>
      <c r="G345" t="s">
        <v>9</v>
      </c>
      <c r="H345" s="1" t="str">
        <f t="shared" si="25"/>
        <v>10-20</v>
      </c>
      <c r="I345" s="1" t="str">
        <f t="shared" si="26"/>
        <v>Normal</v>
      </c>
      <c r="J345" s="1" t="str">
        <f t="shared" si="27"/>
        <v>Normal</v>
      </c>
      <c r="K345" s="1" t="str">
        <f t="shared" si="28"/>
        <v>Normal</v>
      </c>
      <c r="L345" s="1" t="str">
        <f t="shared" si="29"/>
        <v>Normal</v>
      </c>
    </row>
    <row r="346" spans="1:12" x14ac:dyDescent="0.25">
      <c r="A346">
        <v>12</v>
      </c>
      <c r="B346">
        <v>95</v>
      </c>
      <c r="C346">
        <v>60</v>
      </c>
      <c r="D346">
        <v>6.9</v>
      </c>
      <c r="E346">
        <v>98</v>
      </c>
      <c r="F346">
        <v>77</v>
      </c>
      <c r="G346" t="s">
        <v>8</v>
      </c>
      <c r="H346" s="1" t="str">
        <f t="shared" si="25"/>
        <v>10-20</v>
      </c>
      <c r="I346" s="1" t="str">
        <f t="shared" si="26"/>
        <v>Normal</v>
      </c>
      <c r="J346" s="1" t="str">
        <f t="shared" si="27"/>
        <v>Normal</v>
      </c>
      <c r="K346" s="1" t="str">
        <f t="shared" si="28"/>
        <v>Normal</v>
      </c>
      <c r="L346" s="1" t="str">
        <f t="shared" si="29"/>
        <v>Normal</v>
      </c>
    </row>
    <row r="347" spans="1:12" x14ac:dyDescent="0.25">
      <c r="A347">
        <v>37</v>
      </c>
      <c r="B347">
        <v>120</v>
      </c>
      <c r="C347">
        <v>90</v>
      </c>
      <c r="D347">
        <v>11</v>
      </c>
      <c r="E347">
        <v>98</v>
      </c>
      <c r="F347">
        <v>88</v>
      </c>
      <c r="G347" t="s">
        <v>7</v>
      </c>
      <c r="H347" s="1" t="str">
        <f t="shared" si="25"/>
        <v>30-40</v>
      </c>
      <c r="I347" s="1" t="str">
        <f t="shared" si="26"/>
        <v>High</v>
      </c>
      <c r="J347" s="1" t="str">
        <f t="shared" si="27"/>
        <v>Slightly High</v>
      </c>
      <c r="K347" s="1" t="str">
        <f t="shared" si="28"/>
        <v>High</v>
      </c>
      <c r="L347" s="1" t="str">
        <f t="shared" si="29"/>
        <v>Normal</v>
      </c>
    </row>
    <row r="348" spans="1:12" x14ac:dyDescent="0.25">
      <c r="A348">
        <v>18</v>
      </c>
      <c r="B348">
        <v>100</v>
      </c>
      <c r="C348">
        <v>70</v>
      </c>
      <c r="D348">
        <v>6.9</v>
      </c>
      <c r="E348">
        <v>98</v>
      </c>
      <c r="F348">
        <v>76</v>
      </c>
      <c r="G348" t="s">
        <v>8</v>
      </c>
      <c r="H348" s="1" t="str">
        <f t="shared" si="25"/>
        <v>10-20</v>
      </c>
      <c r="I348" s="1" t="str">
        <f t="shared" si="26"/>
        <v>Normal</v>
      </c>
      <c r="J348" s="1" t="str">
        <f t="shared" si="27"/>
        <v>Normal</v>
      </c>
      <c r="K348" s="1" t="str">
        <f t="shared" si="28"/>
        <v>Normal</v>
      </c>
      <c r="L348" s="1" t="str">
        <f t="shared" si="29"/>
        <v>Normal</v>
      </c>
    </row>
    <row r="349" spans="1:12" x14ac:dyDescent="0.25">
      <c r="A349">
        <v>21</v>
      </c>
      <c r="B349">
        <v>100</v>
      </c>
      <c r="C349">
        <v>85</v>
      </c>
      <c r="D349">
        <v>6.9</v>
      </c>
      <c r="E349">
        <v>98</v>
      </c>
      <c r="F349">
        <v>70</v>
      </c>
      <c r="G349" t="s">
        <v>8</v>
      </c>
      <c r="H349" s="1" t="str">
        <f t="shared" si="25"/>
        <v>20-30</v>
      </c>
      <c r="I349" s="1" t="str">
        <f t="shared" si="26"/>
        <v>Pre-High</v>
      </c>
      <c r="J349" s="1" t="str">
        <f t="shared" si="27"/>
        <v>Normal</v>
      </c>
      <c r="K349" s="1" t="str">
        <f t="shared" si="28"/>
        <v>Normal</v>
      </c>
      <c r="L349" s="1" t="str">
        <f t="shared" si="29"/>
        <v>Normal</v>
      </c>
    </row>
    <row r="350" spans="1:12" x14ac:dyDescent="0.25">
      <c r="A350">
        <v>17</v>
      </c>
      <c r="B350">
        <v>110</v>
      </c>
      <c r="C350">
        <v>75</v>
      </c>
      <c r="D350">
        <v>6.9</v>
      </c>
      <c r="E350">
        <v>101</v>
      </c>
      <c r="F350">
        <v>76</v>
      </c>
      <c r="G350" t="s">
        <v>7</v>
      </c>
      <c r="H350" s="1" t="str">
        <f t="shared" si="25"/>
        <v>10-20</v>
      </c>
      <c r="I350" s="1" t="str">
        <f t="shared" si="26"/>
        <v>Normal</v>
      </c>
      <c r="J350" s="1" t="str">
        <f t="shared" si="27"/>
        <v>Normal</v>
      </c>
      <c r="K350" s="1" t="str">
        <f t="shared" si="28"/>
        <v>Normal</v>
      </c>
      <c r="L350" s="1" t="str">
        <f t="shared" si="29"/>
        <v>High</v>
      </c>
    </row>
    <row r="351" spans="1:12" x14ac:dyDescent="0.25">
      <c r="A351">
        <v>25</v>
      </c>
      <c r="B351">
        <v>120</v>
      </c>
      <c r="C351">
        <v>90</v>
      </c>
      <c r="D351">
        <v>6.9</v>
      </c>
      <c r="E351">
        <v>98</v>
      </c>
      <c r="F351">
        <v>80</v>
      </c>
      <c r="G351" t="s">
        <v>8</v>
      </c>
      <c r="H351" s="1" t="str">
        <f t="shared" si="25"/>
        <v>20-30</v>
      </c>
      <c r="I351" s="1" t="str">
        <f t="shared" si="26"/>
        <v>High</v>
      </c>
      <c r="J351" s="1" t="str">
        <f t="shared" si="27"/>
        <v>Normal</v>
      </c>
      <c r="K351" s="1" t="str">
        <f t="shared" si="28"/>
        <v>Normal</v>
      </c>
      <c r="L351" s="1" t="str">
        <f t="shared" si="29"/>
        <v>Normal</v>
      </c>
    </row>
    <row r="352" spans="1:12" x14ac:dyDescent="0.25">
      <c r="A352">
        <v>33</v>
      </c>
      <c r="B352">
        <v>115</v>
      </c>
      <c r="C352">
        <v>65</v>
      </c>
      <c r="D352">
        <v>7</v>
      </c>
      <c r="E352">
        <v>98</v>
      </c>
      <c r="F352">
        <v>70</v>
      </c>
      <c r="G352" t="s">
        <v>9</v>
      </c>
      <c r="H352" s="1" t="str">
        <f t="shared" si="25"/>
        <v>30-40</v>
      </c>
      <c r="I352" s="1" t="str">
        <f t="shared" si="26"/>
        <v>Normal</v>
      </c>
      <c r="J352" s="1" t="str">
        <f t="shared" si="27"/>
        <v>Normal</v>
      </c>
      <c r="K352" s="1" t="str">
        <f t="shared" si="28"/>
        <v>Normal</v>
      </c>
      <c r="L352" s="1" t="str">
        <f t="shared" si="29"/>
        <v>Normal</v>
      </c>
    </row>
    <row r="353" spans="1:12" x14ac:dyDescent="0.25">
      <c r="A353">
        <v>12</v>
      </c>
      <c r="B353">
        <v>95</v>
      </c>
      <c r="C353">
        <v>60</v>
      </c>
      <c r="D353">
        <v>6.9</v>
      </c>
      <c r="E353">
        <v>98</v>
      </c>
      <c r="F353">
        <v>65</v>
      </c>
      <c r="G353" t="s">
        <v>9</v>
      </c>
      <c r="H353" s="1" t="str">
        <f t="shared" si="25"/>
        <v>10-20</v>
      </c>
      <c r="I353" s="1" t="str">
        <f t="shared" si="26"/>
        <v>Normal</v>
      </c>
      <c r="J353" s="1" t="str">
        <f t="shared" si="27"/>
        <v>Normal</v>
      </c>
      <c r="K353" s="1" t="str">
        <f t="shared" si="28"/>
        <v>Low</v>
      </c>
      <c r="L353" s="1" t="str">
        <f t="shared" si="29"/>
        <v>Normal</v>
      </c>
    </row>
    <row r="354" spans="1:12" x14ac:dyDescent="0.25">
      <c r="A354">
        <v>28</v>
      </c>
      <c r="B354">
        <v>120</v>
      </c>
      <c r="C354">
        <v>90</v>
      </c>
      <c r="D354">
        <v>6.9</v>
      </c>
      <c r="E354">
        <v>98</v>
      </c>
      <c r="F354">
        <v>70</v>
      </c>
      <c r="G354" t="s">
        <v>9</v>
      </c>
      <c r="H354" s="1" t="str">
        <f t="shared" si="25"/>
        <v>20-30</v>
      </c>
      <c r="I354" s="1" t="str">
        <f t="shared" si="26"/>
        <v>High</v>
      </c>
      <c r="J354" s="1" t="str">
        <f t="shared" si="27"/>
        <v>Normal</v>
      </c>
      <c r="K354" s="1" t="str">
        <f t="shared" si="28"/>
        <v>Normal</v>
      </c>
      <c r="L354" s="1" t="str">
        <f t="shared" si="29"/>
        <v>Normal</v>
      </c>
    </row>
    <row r="355" spans="1:12" x14ac:dyDescent="0.25">
      <c r="A355">
        <v>40</v>
      </c>
      <c r="B355">
        <v>120</v>
      </c>
      <c r="C355">
        <v>90</v>
      </c>
      <c r="D355">
        <v>6.9</v>
      </c>
      <c r="E355">
        <v>98</v>
      </c>
      <c r="F355">
        <v>80</v>
      </c>
      <c r="G355" t="s">
        <v>7</v>
      </c>
      <c r="H355" s="1" t="str">
        <f t="shared" si="25"/>
        <v>30-40</v>
      </c>
      <c r="I355" s="1" t="str">
        <f t="shared" si="26"/>
        <v>High</v>
      </c>
      <c r="J355" s="1" t="str">
        <f t="shared" si="27"/>
        <v>Normal</v>
      </c>
      <c r="K355" s="1" t="str">
        <f t="shared" si="28"/>
        <v>Normal</v>
      </c>
      <c r="L355" s="1" t="str">
        <f t="shared" si="29"/>
        <v>Normal</v>
      </c>
    </row>
    <row r="356" spans="1:12" x14ac:dyDescent="0.25">
      <c r="A356">
        <v>55</v>
      </c>
      <c r="B356">
        <v>110</v>
      </c>
      <c r="C356">
        <v>85</v>
      </c>
      <c r="D356">
        <v>6.9</v>
      </c>
      <c r="E356">
        <v>98</v>
      </c>
      <c r="F356">
        <v>88</v>
      </c>
      <c r="G356" t="s">
        <v>7</v>
      </c>
      <c r="H356" s="1" t="str">
        <f t="shared" si="25"/>
        <v>50+</v>
      </c>
      <c r="I356" s="1" t="str">
        <f t="shared" si="26"/>
        <v>Pre-High</v>
      </c>
      <c r="J356" s="1" t="str">
        <f t="shared" si="27"/>
        <v>Normal</v>
      </c>
      <c r="K356" s="1" t="str">
        <f t="shared" si="28"/>
        <v>High</v>
      </c>
      <c r="L356" s="1" t="str">
        <f t="shared" si="29"/>
        <v>Normal</v>
      </c>
    </row>
    <row r="357" spans="1:12" x14ac:dyDescent="0.25">
      <c r="A357">
        <v>25</v>
      </c>
      <c r="B357">
        <v>100</v>
      </c>
      <c r="C357">
        <v>90</v>
      </c>
      <c r="D357">
        <v>6.9</v>
      </c>
      <c r="E357">
        <v>98</v>
      </c>
      <c r="F357">
        <v>76</v>
      </c>
      <c r="G357" t="s">
        <v>7</v>
      </c>
      <c r="H357" s="1" t="str">
        <f t="shared" si="25"/>
        <v>20-30</v>
      </c>
      <c r="I357" s="1" t="str">
        <f t="shared" si="26"/>
        <v>High</v>
      </c>
      <c r="J357" s="1" t="str">
        <f t="shared" si="27"/>
        <v>Normal</v>
      </c>
      <c r="K357" s="1" t="str">
        <f t="shared" si="28"/>
        <v>Normal</v>
      </c>
      <c r="L357" s="1" t="str">
        <f t="shared" si="29"/>
        <v>Normal</v>
      </c>
    </row>
    <row r="358" spans="1:12" x14ac:dyDescent="0.25">
      <c r="A358">
        <v>35</v>
      </c>
      <c r="B358">
        <v>120</v>
      </c>
      <c r="C358">
        <v>80</v>
      </c>
      <c r="D358">
        <v>6.9</v>
      </c>
      <c r="E358">
        <v>98</v>
      </c>
      <c r="F358">
        <v>80</v>
      </c>
      <c r="G358" t="s">
        <v>7</v>
      </c>
      <c r="H358" s="1" t="str">
        <f t="shared" si="25"/>
        <v>30-40</v>
      </c>
      <c r="I358" s="1" t="str">
        <f t="shared" si="26"/>
        <v>Pre-High</v>
      </c>
      <c r="J358" s="1" t="str">
        <f t="shared" si="27"/>
        <v>Normal</v>
      </c>
      <c r="K358" s="1" t="str">
        <f t="shared" si="28"/>
        <v>Normal</v>
      </c>
      <c r="L358" s="1" t="str">
        <f t="shared" si="29"/>
        <v>Normal</v>
      </c>
    </row>
    <row r="359" spans="1:12" x14ac:dyDescent="0.25">
      <c r="A359">
        <v>21</v>
      </c>
      <c r="B359">
        <v>90</v>
      </c>
      <c r="C359">
        <v>65</v>
      </c>
      <c r="D359">
        <v>6.9</v>
      </c>
      <c r="E359">
        <v>98</v>
      </c>
      <c r="F359">
        <v>76</v>
      </c>
      <c r="G359" t="s">
        <v>9</v>
      </c>
      <c r="H359" s="1" t="str">
        <f t="shared" si="25"/>
        <v>20-30</v>
      </c>
      <c r="I359" s="1" t="str">
        <f t="shared" si="26"/>
        <v>Normal</v>
      </c>
      <c r="J359" s="1" t="str">
        <f t="shared" si="27"/>
        <v>Normal</v>
      </c>
      <c r="K359" s="1" t="str">
        <f t="shared" si="28"/>
        <v>Normal</v>
      </c>
      <c r="L359" s="1" t="str">
        <f t="shared" si="29"/>
        <v>Normal</v>
      </c>
    </row>
    <row r="360" spans="1:12" x14ac:dyDescent="0.25">
      <c r="A360">
        <v>18</v>
      </c>
      <c r="B360">
        <v>90</v>
      </c>
      <c r="C360">
        <v>60</v>
      </c>
      <c r="D360">
        <v>6.9</v>
      </c>
      <c r="E360">
        <v>98</v>
      </c>
      <c r="F360">
        <v>70</v>
      </c>
      <c r="G360" t="s">
        <v>9</v>
      </c>
      <c r="H360" s="1" t="str">
        <f t="shared" si="25"/>
        <v>10-20</v>
      </c>
      <c r="I360" s="1" t="str">
        <f t="shared" si="26"/>
        <v>Normal</v>
      </c>
      <c r="J360" s="1" t="str">
        <f t="shared" si="27"/>
        <v>Normal</v>
      </c>
      <c r="K360" s="1" t="str">
        <f t="shared" si="28"/>
        <v>Normal</v>
      </c>
      <c r="L360" s="1" t="str">
        <f t="shared" si="29"/>
        <v>Normal</v>
      </c>
    </row>
    <row r="361" spans="1:12" x14ac:dyDescent="0.25">
      <c r="A361">
        <v>21</v>
      </c>
      <c r="B361">
        <v>120</v>
      </c>
      <c r="C361">
        <v>80</v>
      </c>
      <c r="D361">
        <v>6.9</v>
      </c>
      <c r="E361">
        <v>98</v>
      </c>
      <c r="F361">
        <v>76</v>
      </c>
      <c r="G361" t="s">
        <v>9</v>
      </c>
      <c r="H361" s="1" t="str">
        <f t="shared" si="25"/>
        <v>20-30</v>
      </c>
      <c r="I361" s="1" t="str">
        <f t="shared" si="26"/>
        <v>Pre-High</v>
      </c>
      <c r="J361" s="1" t="str">
        <f t="shared" si="27"/>
        <v>Normal</v>
      </c>
      <c r="K361" s="1" t="str">
        <f t="shared" si="28"/>
        <v>Normal</v>
      </c>
      <c r="L361" s="1" t="str">
        <f t="shared" si="29"/>
        <v>Normal</v>
      </c>
    </row>
    <row r="362" spans="1:12" x14ac:dyDescent="0.25">
      <c r="A362">
        <v>16</v>
      </c>
      <c r="B362">
        <v>100</v>
      </c>
      <c r="C362">
        <v>70</v>
      </c>
      <c r="D362">
        <v>6.9</v>
      </c>
      <c r="E362">
        <v>98</v>
      </c>
      <c r="F362">
        <v>80</v>
      </c>
      <c r="G362" t="s">
        <v>9</v>
      </c>
      <c r="H362" s="1" t="str">
        <f t="shared" si="25"/>
        <v>10-20</v>
      </c>
      <c r="I362" s="1" t="str">
        <f t="shared" si="26"/>
        <v>Normal</v>
      </c>
      <c r="J362" s="1" t="str">
        <f t="shared" si="27"/>
        <v>Normal</v>
      </c>
      <c r="K362" s="1" t="str">
        <f t="shared" si="28"/>
        <v>Normal</v>
      </c>
      <c r="L362" s="1" t="str">
        <f t="shared" si="29"/>
        <v>Normal</v>
      </c>
    </row>
    <row r="363" spans="1:12" x14ac:dyDescent="0.25">
      <c r="A363">
        <v>19</v>
      </c>
      <c r="B363">
        <v>120</v>
      </c>
      <c r="C363">
        <v>75</v>
      </c>
      <c r="D363">
        <v>6.9</v>
      </c>
      <c r="E363">
        <v>98</v>
      </c>
      <c r="F363">
        <v>66</v>
      </c>
      <c r="G363" t="s">
        <v>9</v>
      </c>
      <c r="H363" s="1" t="str">
        <f t="shared" si="25"/>
        <v>10-20</v>
      </c>
      <c r="I363" s="1" t="str">
        <f t="shared" si="26"/>
        <v>Pre-High</v>
      </c>
      <c r="J363" s="1" t="str">
        <f t="shared" si="27"/>
        <v>Normal</v>
      </c>
      <c r="K363" s="1" t="str">
        <f t="shared" si="28"/>
        <v>Low</v>
      </c>
      <c r="L363" s="1" t="str">
        <f t="shared" si="29"/>
        <v>Normal</v>
      </c>
    </row>
    <row r="364" spans="1:12" x14ac:dyDescent="0.25">
      <c r="A364">
        <v>40</v>
      </c>
      <c r="B364">
        <v>160</v>
      </c>
      <c r="C364">
        <v>100</v>
      </c>
      <c r="D364">
        <v>19</v>
      </c>
      <c r="E364">
        <v>98</v>
      </c>
      <c r="F364">
        <v>77</v>
      </c>
      <c r="G364" t="s">
        <v>7</v>
      </c>
      <c r="H364" s="1" t="str">
        <f t="shared" si="25"/>
        <v>30-40</v>
      </c>
      <c r="I364" s="1" t="str">
        <f t="shared" si="26"/>
        <v>Critical</v>
      </c>
      <c r="J364" s="1" t="str">
        <f t="shared" si="27"/>
        <v>High</v>
      </c>
      <c r="K364" s="1" t="str">
        <f t="shared" si="28"/>
        <v>Normal</v>
      </c>
      <c r="L364" s="1" t="str">
        <f t="shared" si="29"/>
        <v>Normal</v>
      </c>
    </row>
    <row r="365" spans="1:12" x14ac:dyDescent="0.25">
      <c r="A365">
        <v>32</v>
      </c>
      <c r="B365">
        <v>140</v>
      </c>
      <c r="C365">
        <v>90</v>
      </c>
      <c r="D365">
        <v>18</v>
      </c>
      <c r="E365">
        <v>98</v>
      </c>
      <c r="F365">
        <v>88</v>
      </c>
      <c r="G365" t="s">
        <v>7</v>
      </c>
      <c r="H365" s="1" t="str">
        <f t="shared" si="25"/>
        <v>30-40</v>
      </c>
      <c r="I365" s="1" t="str">
        <f t="shared" si="26"/>
        <v>High</v>
      </c>
      <c r="J365" s="1" t="str">
        <f t="shared" si="27"/>
        <v>High</v>
      </c>
      <c r="K365" s="1" t="str">
        <f t="shared" si="28"/>
        <v>High</v>
      </c>
      <c r="L365" s="1" t="str">
        <f t="shared" si="29"/>
        <v>Normal</v>
      </c>
    </row>
    <row r="366" spans="1:12" x14ac:dyDescent="0.25">
      <c r="A366">
        <v>23</v>
      </c>
      <c r="B366">
        <v>100</v>
      </c>
      <c r="C366">
        <v>85</v>
      </c>
      <c r="D366">
        <v>6.9</v>
      </c>
      <c r="E366">
        <v>98</v>
      </c>
      <c r="F366">
        <v>66</v>
      </c>
      <c r="G366" t="s">
        <v>9</v>
      </c>
      <c r="H366" s="1" t="str">
        <f t="shared" si="25"/>
        <v>20-30</v>
      </c>
      <c r="I366" s="1" t="str">
        <f t="shared" si="26"/>
        <v>Pre-High</v>
      </c>
      <c r="J366" s="1" t="str">
        <f t="shared" si="27"/>
        <v>Normal</v>
      </c>
      <c r="K366" s="1" t="str">
        <f t="shared" si="28"/>
        <v>Low</v>
      </c>
      <c r="L366" s="1" t="str">
        <f t="shared" si="29"/>
        <v>Normal</v>
      </c>
    </row>
    <row r="367" spans="1:12" x14ac:dyDescent="0.25">
      <c r="A367">
        <v>22</v>
      </c>
      <c r="B367">
        <v>120</v>
      </c>
      <c r="C367">
        <v>90</v>
      </c>
      <c r="D367">
        <v>7.8</v>
      </c>
      <c r="E367">
        <v>98</v>
      </c>
      <c r="F367">
        <v>82</v>
      </c>
      <c r="G367" t="s">
        <v>9</v>
      </c>
      <c r="H367" s="1" t="str">
        <f t="shared" si="25"/>
        <v>20-30</v>
      </c>
      <c r="I367" s="1" t="str">
        <f t="shared" si="26"/>
        <v>High</v>
      </c>
      <c r="J367" s="1" t="str">
        <f t="shared" si="27"/>
        <v>Normal</v>
      </c>
      <c r="K367" s="1" t="str">
        <f t="shared" si="28"/>
        <v>Normal</v>
      </c>
      <c r="L367" s="1" t="str">
        <f t="shared" si="29"/>
        <v>Normal</v>
      </c>
    </row>
    <row r="368" spans="1:12" x14ac:dyDescent="0.25">
      <c r="A368">
        <v>21</v>
      </c>
      <c r="B368">
        <v>120</v>
      </c>
      <c r="C368">
        <v>80</v>
      </c>
      <c r="D368">
        <v>7.8</v>
      </c>
      <c r="E368">
        <v>98</v>
      </c>
      <c r="F368">
        <v>77</v>
      </c>
      <c r="G368" t="s">
        <v>8</v>
      </c>
      <c r="H368" s="1" t="str">
        <f t="shared" si="25"/>
        <v>20-30</v>
      </c>
      <c r="I368" s="1" t="str">
        <f t="shared" si="26"/>
        <v>Pre-High</v>
      </c>
      <c r="J368" s="1" t="str">
        <f t="shared" si="27"/>
        <v>Normal</v>
      </c>
      <c r="K368" s="1" t="str">
        <f t="shared" si="28"/>
        <v>Normal</v>
      </c>
      <c r="L368" s="1" t="str">
        <f t="shared" si="29"/>
        <v>Normal</v>
      </c>
    </row>
    <row r="369" spans="1:12" x14ac:dyDescent="0.25">
      <c r="A369">
        <v>35</v>
      </c>
      <c r="B369">
        <v>140</v>
      </c>
      <c r="C369">
        <v>100</v>
      </c>
      <c r="D369">
        <v>7.8</v>
      </c>
      <c r="E369">
        <v>98</v>
      </c>
      <c r="F369">
        <v>66</v>
      </c>
      <c r="G369" t="s">
        <v>7</v>
      </c>
      <c r="H369" s="1" t="str">
        <f t="shared" si="25"/>
        <v>30-40</v>
      </c>
      <c r="I369" s="1" t="str">
        <f t="shared" si="26"/>
        <v>Critical</v>
      </c>
      <c r="J369" s="1" t="str">
        <f t="shared" si="27"/>
        <v>Normal</v>
      </c>
      <c r="K369" s="1" t="str">
        <f t="shared" si="28"/>
        <v>Low</v>
      </c>
      <c r="L369" s="1" t="str">
        <f t="shared" si="29"/>
        <v>Normal</v>
      </c>
    </row>
    <row r="370" spans="1:12" x14ac:dyDescent="0.25">
      <c r="A370">
        <v>54</v>
      </c>
      <c r="B370">
        <v>140</v>
      </c>
      <c r="C370">
        <v>100</v>
      </c>
      <c r="D370">
        <v>15</v>
      </c>
      <c r="E370">
        <v>98</v>
      </c>
      <c r="F370">
        <v>66</v>
      </c>
      <c r="G370" t="s">
        <v>7</v>
      </c>
      <c r="H370" s="1" t="str">
        <f t="shared" si="25"/>
        <v>50+</v>
      </c>
      <c r="I370" s="1" t="str">
        <f t="shared" si="26"/>
        <v>Critical</v>
      </c>
      <c r="J370" s="1" t="str">
        <f t="shared" si="27"/>
        <v>High</v>
      </c>
      <c r="K370" s="1" t="str">
        <f t="shared" si="28"/>
        <v>Low</v>
      </c>
      <c r="L370" s="1" t="str">
        <f t="shared" si="29"/>
        <v>Normal</v>
      </c>
    </row>
    <row r="371" spans="1:12" x14ac:dyDescent="0.25">
      <c r="A371">
        <v>40</v>
      </c>
      <c r="B371">
        <v>120</v>
      </c>
      <c r="C371">
        <v>95</v>
      </c>
      <c r="D371">
        <v>11</v>
      </c>
      <c r="E371">
        <v>98</v>
      </c>
      <c r="F371">
        <v>80</v>
      </c>
      <c r="G371" t="s">
        <v>7</v>
      </c>
      <c r="H371" s="1" t="str">
        <f t="shared" si="25"/>
        <v>30-40</v>
      </c>
      <c r="I371" s="1" t="str">
        <f t="shared" si="26"/>
        <v>High</v>
      </c>
      <c r="J371" s="1" t="str">
        <f t="shared" si="27"/>
        <v>Slightly High</v>
      </c>
      <c r="K371" s="1" t="str">
        <f t="shared" si="28"/>
        <v>Normal</v>
      </c>
      <c r="L371" s="1" t="str">
        <f t="shared" si="29"/>
        <v>Normal</v>
      </c>
    </row>
    <row r="372" spans="1:12" x14ac:dyDescent="0.25">
      <c r="A372">
        <v>21</v>
      </c>
      <c r="B372">
        <v>75</v>
      </c>
      <c r="C372">
        <v>50</v>
      </c>
      <c r="D372">
        <v>7.8</v>
      </c>
      <c r="E372">
        <v>98</v>
      </c>
      <c r="F372">
        <v>60</v>
      </c>
      <c r="G372" t="s">
        <v>8</v>
      </c>
      <c r="H372" s="1" t="str">
        <f t="shared" si="25"/>
        <v>20-30</v>
      </c>
      <c r="I372" s="1" t="str">
        <f t="shared" si="26"/>
        <v>Low BP</v>
      </c>
      <c r="J372" s="1" t="str">
        <f t="shared" si="27"/>
        <v>Normal</v>
      </c>
      <c r="K372" s="1" t="str">
        <f t="shared" si="28"/>
        <v>Low</v>
      </c>
      <c r="L372" s="1" t="str">
        <f t="shared" si="29"/>
        <v>Normal</v>
      </c>
    </row>
    <row r="373" spans="1:12" x14ac:dyDescent="0.25">
      <c r="A373">
        <v>12</v>
      </c>
      <c r="B373">
        <v>90</v>
      </c>
      <c r="C373">
        <v>60</v>
      </c>
      <c r="D373">
        <v>7.8</v>
      </c>
      <c r="E373">
        <v>102</v>
      </c>
      <c r="F373">
        <v>60</v>
      </c>
      <c r="G373" t="s">
        <v>7</v>
      </c>
      <c r="H373" s="1" t="str">
        <f t="shared" si="25"/>
        <v>10-20</v>
      </c>
      <c r="I373" s="1" t="str">
        <f t="shared" si="26"/>
        <v>Normal</v>
      </c>
      <c r="J373" s="1" t="str">
        <f t="shared" si="27"/>
        <v>Normal</v>
      </c>
      <c r="K373" s="1" t="str">
        <f t="shared" si="28"/>
        <v>Low</v>
      </c>
      <c r="L373" s="1" t="str">
        <f t="shared" si="29"/>
        <v>High</v>
      </c>
    </row>
    <row r="374" spans="1:12" x14ac:dyDescent="0.25">
      <c r="A374">
        <v>60</v>
      </c>
      <c r="B374">
        <v>120</v>
      </c>
      <c r="C374">
        <v>85</v>
      </c>
      <c r="D374">
        <v>15</v>
      </c>
      <c r="E374">
        <v>98</v>
      </c>
      <c r="F374">
        <v>60</v>
      </c>
      <c r="G374" t="s">
        <v>9</v>
      </c>
      <c r="H374" s="1" t="str">
        <f t="shared" si="25"/>
        <v>50+</v>
      </c>
      <c r="I374" s="1" t="str">
        <f t="shared" si="26"/>
        <v>Pre-High</v>
      </c>
      <c r="J374" s="1" t="str">
        <f t="shared" si="27"/>
        <v>High</v>
      </c>
      <c r="K374" s="1" t="str">
        <f t="shared" si="28"/>
        <v>Low</v>
      </c>
      <c r="L374" s="1" t="str">
        <f t="shared" si="29"/>
        <v>Normal</v>
      </c>
    </row>
    <row r="375" spans="1:12" x14ac:dyDescent="0.25">
      <c r="A375">
        <v>55</v>
      </c>
      <c r="B375">
        <v>140</v>
      </c>
      <c r="C375">
        <v>95</v>
      </c>
      <c r="D375">
        <v>19</v>
      </c>
      <c r="E375">
        <v>98</v>
      </c>
      <c r="F375">
        <v>77</v>
      </c>
      <c r="G375" t="s">
        <v>7</v>
      </c>
      <c r="H375" s="1" t="str">
        <f t="shared" si="25"/>
        <v>50+</v>
      </c>
      <c r="I375" s="1" t="str">
        <f t="shared" si="26"/>
        <v>High</v>
      </c>
      <c r="J375" s="1" t="str">
        <f t="shared" si="27"/>
        <v>High</v>
      </c>
      <c r="K375" s="1" t="str">
        <f t="shared" si="28"/>
        <v>Normal</v>
      </c>
      <c r="L375" s="1" t="str">
        <f t="shared" si="29"/>
        <v>Normal</v>
      </c>
    </row>
    <row r="376" spans="1:12" x14ac:dyDescent="0.25">
      <c r="A376">
        <v>50</v>
      </c>
      <c r="B376">
        <v>130</v>
      </c>
      <c r="C376">
        <v>100</v>
      </c>
      <c r="D376">
        <v>16</v>
      </c>
      <c r="E376">
        <v>98</v>
      </c>
      <c r="F376">
        <v>75</v>
      </c>
      <c r="G376" t="s">
        <v>7</v>
      </c>
      <c r="H376" s="1" t="str">
        <f t="shared" si="25"/>
        <v>40-50</v>
      </c>
      <c r="I376" s="1" t="str">
        <f t="shared" si="26"/>
        <v>Critical</v>
      </c>
      <c r="J376" s="1" t="str">
        <f t="shared" si="27"/>
        <v>High</v>
      </c>
      <c r="K376" s="1" t="str">
        <f t="shared" si="28"/>
        <v>Normal</v>
      </c>
      <c r="L376" s="1" t="str">
        <f t="shared" si="29"/>
        <v>Normal</v>
      </c>
    </row>
    <row r="377" spans="1:12" x14ac:dyDescent="0.25">
      <c r="A377">
        <v>60</v>
      </c>
      <c r="B377">
        <v>120</v>
      </c>
      <c r="C377">
        <v>80</v>
      </c>
      <c r="D377">
        <v>7.8</v>
      </c>
      <c r="E377">
        <v>98</v>
      </c>
      <c r="F377">
        <v>75</v>
      </c>
      <c r="G377" t="s">
        <v>7</v>
      </c>
      <c r="H377" s="1" t="str">
        <f t="shared" si="25"/>
        <v>50+</v>
      </c>
      <c r="I377" s="1" t="str">
        <f t="shared" si="26"/>
        <v>Pre-High</v>
      </c>
      <c r="J377" s="1" t="str">
        <f t="shared" si="27"/>
        <v>Normal</v>
      </c>
      <c r="K377" s="1" t="str">
        <f t="shared" si="28"/>
        <v>Normal</v>
      </c>
      <c r="L377" s="1" t="str">
        <f t="shared" si="29"/>
        <v>Normal</v>
      </c>
    </row>
    <row r="378" spans="1:12" x14ac:dyDescent="0.25">
      <c r="A378">
        <v>55</v>
      </c>
      <c r="B378">
        <v>100</v>
      </c>
      <c r="C378">
        <v>65</v>
      </c>
      <c r="D378">
        <v>7.8</v>
      </c>
      <c r="E378">
        <v>98</v>
      </c>
      <c r="F378">
        <v>66</v>
      </c>
      <c r="G378" t="s">
        <v>8</v>
      </c>
      <c r="H378" s="1" t="str">
        <f t="shared" si="25"/>
        <v>50+</v>
      </c>
      <c r="I378" s="1" t="str">
        <f t="shared" si="26"/>
        <v>Normal</v>
      </c>
      <c r="J378" s="1" t="str">
        <f t="shared" si="27"/>
        <v>Normal</v>
      </c>
      <c r="K378" s="1" t="str">
        <f t="shared" si="28"/>
        <v>Low</v>
      </c>
      <c r="L378" s="1" t="str">
        <f t="shared" si="29"/>
        <v>Normal</v>
      </c>
    </row>
    <row r="379" spans="1:12" x14ac:dyDescent="0.25">
      <c r="A379">
        <v>45</v>
      </c>
      <c r="B379">
        <v>120</v>
      </c>
      <c r="C379">
        <v>95</v>
      </c>
      <c r="D379">
        <v>7.8</v>
      </c>
      <c r="E379">
        <v>98</v>
      </c>
      <c r="F379">
        <v>66</v>
      </c>
      <c r="G379" t="s">
        <v>8</v>
      </c>
      <c r="H379" s="1" t="str">
        <f t="shared" si="25"/>
        <v>40-50</v>
      </c>
      <c r="I379" s="1" t="str">
        <f t="shared" si="26"/>
        <v>High</v>
      </c>
      <c r="J379" s="1" t="str">
        <f t="shared" si="27"/>
        <v>Normal</v>
      </c>
      <c r="K379" s="1" t="str">
        <f t="shared" si="28"/>
        <v>Low</v>
      </c>
      <c r="L379" s="1" t="str">
        <f t="shared" si="29"/>
        <v>Normal</v>
      </c>
    </row>
    <row r="380" spans="1:12" x14ac:dyDescent="0.25">
      <c r="A380">
        <v>35</v>
      </c>
      <c r="B380">
        <v>100</v>
      </c>
      <c r="C380">
        <v>70</v>
      </c>
      <c r="D380">
        <v>7.8</v>
      </c>
      <c r="E380">
        <v>98</v>
      </c>
      <c r="F380">
        <v>66</v>
      </c>
      <c r="G380" t="s">
        <v>8</v>
      </c>
      <c r="H380" s="1" t="str">
        <f t="shared" si="25"/>
        <v>30-40</v>
      </c>
      <c r="I380" s="1" t="str">
        <f t="shared" si="26"/>
        <v>Normal</v>
      </c>
      <c r="J380" s="1" t="str">
        <f t="shared" si="27"/>
        <v>Normal</v>
      </c>
      <c r="K380" s="1" t="str">
        <f t="shared" si="28"/>
        <v>Low</v>
      </c>
      <c r="L380" s="1" t="str">
        <f t="shared" si="29"/>
        <v>Normal</v>
      </c>
    </row>
    <row r="381" spans="1:12" x14ac:dyDescent="0.25">
      <c r="A381">
        <v>22</v>
      </c>
      <c r="B381">
        <v>120</v>
      </c>
      <c r="C381">
        <v>85</v>
      </c>
      <c r="D381">
        <v>7.8</v>
      </c>
      <c r="E381">
        <v>98</v>
      </c>
      <c r="F381">
        <v>88</v>
      </c>
      <c r="G381" t="s">
        <v>8</v>
      </c>
      <c r="H381" s="1" t="str">
        <f t="shared" si="25"/>
        <v>20-30</v>
      </c>
      <c r="I381" s="1" t="str">
        <f t="shared" si="26"/>
        <v>Pre-High</v>
      </c>
      <c r="J381" s="1" t="str">
        <f t="shared" si="27"/>
        <v>Normal</v>
      </c>
      <c r="K381" s="1" t="str">
        <f t="shared" si="28"/>
        <v>High</v>
      </c>
      <c r="L381" s="1" t="str">
        <f t="shared" si="29"/>
        <v>Normal</v>
      </c>
    </row>
    <row r="382" spans="1:12" x14ac:dyDescent="0.25">
      <c r="A382">
        <v>13</v>
      </c>
      <c r="B382">
        <v>90</v>
      </c>
      <c r="C382">
        <v>65</v>
      </c>
      <c r="D382">
        <v>7.8</v>
      </c>
      <c r="E382">
        <v>101</v>
      </c>
      <c r="F382">
        <v>80</v>
      </c>
      <c r="G382" t="s">
        <v>9</v>
      </c>
      <c r="H382" s="1" t="str">
        <f t="shared" si="25"/>
        <v>10-20</v>
      </c>
      <c r="I382" s="1" t="str">
        <f t="shared" si="26"/>
        <v>Normal</v>
      </c>
      <c r="J382" s="1" t="str">
        <f t="shared" si="27"/>
        <v>Normal</v>
      </c>
      <c r="K382" s="1" t="str">
        <f t="shared" si="28"/>
        <v>Normal</v>
      </c>
      <c r="L382" s="1" t="str">
        <f t="shared" si="29"/>
        <v>High</v>
      </c>
    </row>
    <row r="383" spans="1:12" x14ac:dyDescent="0.25">
      <c r="A383">
        <v>23</v>
      </c>
      <c r="B383">
        <v>120</v>
      </c>
      <c r="C383">
        <v>90</v>
      </c>
      <c r="D383">
        <v>7.8</v>
      </c>
      <c r="E383">
        <v>98</v>
      </c>
      <c r="F383">
        <v>60</v>
      </c>
      <c r="G383" t="s">
        <v>9</v>
      </c>
      <c r="H383" s="1" t="str">
        <f t="shared" si="25"/>
        <v>20-30</v>
      </c>
      <c r="I383" s="1" t="str">
        <f t="shared" si="26"/>
        <v>High</v>
      </c>
      <c r="J383" s="1" t="str">
        <f t="shared" si="27"/>
        <v>Normal</v>
      </c>
      <c r="K383" s="1" t="str">
        <f t="shared" si="28"/>
        <v>Low</v>
      </c>
      <c r="L383" s="1" t="str">
        <f t="shared" si="29"/>
        <v>Normal</v>
      </c>
    </row>
    <row r="384" spans="1:12" x14ac:dyDescent="0.25">
      <c r="A384">
        <v>17</v>
      </c>
      <c r="B384">
        <v>90</v>
      </c>
      <c r="C384">
        <v>65</v>
      </c>
      <c r="D384">
        <v>7.8</v>
      </c>
      <c r="E384">
        <v>103</v>
      </c>
      <c r="F384">
        <v>67</v>
      </c>
      <c r="G384" t="s">
        <v>7</v>
      </c>
      <c r="H384" s="1" t="str">
        <f t="shared" si="25"/>
        <v>10-20</v>
      </c>
      <c r="I384" s="1" t="str">
        <f t="shared" si="26"/>
        <v>Normal</v>
      </c>
      <c r="J384" s="1" t="str">
        <f t="shared" si="27"/>
        <v>Normal</v>
      </c>
      <c r="K384" s="1" t="str">
        <f t="shared" si="28"/>
        <v>Low</v>
      </c>
      <c r="L384" s="1" t="str">
        <f t="shared" si="29"/>
        <v>High</v>
      </c>
    </row>
    <row r="385" spans="1:12" x14ac:dyDescent="0.25">
      <c r="A385">
        <v>28</v>
      </c>
      <c r="B385">
        <v>115</v>
      </c>
      <c r="C385">
        <v>60</v>
      </c>
      <c r="D385">
        <v>7.8</v>
      </c>
      <c r="E385">
        <v>101</v>
      </c>
      <c r="F385">
        <v>86</v>
      </c>
      <c r="G385" t="s">
        <v>9</v>
      </c>
      <c r="H385" s="1" t="str">
        <f t="shared" si="25"/>
        <v>20-30</v>
      </c>
      <c r="I385" s="1" t="str">
        <f t="shared" si="26"/>
        <v>Normal</v>
      </c>
      <c r="J385" s="1" t="str">
        <f t="shared" si="27"/>
        <v>Normal</v>
      </c>
      <c r="K385" s="1" t="str">
        <f t="shared" si="28"/>
        <v>High</v>
      </c>
      <c r="L385" s="1" t="str">
        <f t="shared" si="29"/>
        <v>High</v>
      </c>
    </row>
    <row r="386" spans="1:12" x14ac:dyDescent="0.25">
      <c r="A386">
        <v>50</v>
      </c>
      <c r="B386">
        <v>120</v>
      </c>
      <c r="C386">
        <v>80</v>
      </c>
      <c r="D386">
        <v>7.8</v>
      </c>
      <c r="E386">
        <v>98</v>
      </c>
      <c r="F386">
        <v>70</v>
      </c>
      <c r="G386" t="s">
        <v>9</v>
      </c>
      <c r="H386" s="1" t="str">
        <f t="shared" si="25"/>
        <v>40-50</v>
      </c>
      <c r="I386" s="1" t="str">
        <f t="shared" si="26"/>
        <v>Pre-High</v>
      </c>
      <c r="J386" s="1" t="str">
        <f t="shared" si="27"/>
        <v>Normal</v>
      </c>
      <c r="K386" s="1" t="str">
        <f t="shared" si="28"/>
        <v>Normal</v>
      </c>
      <c r="L386" s="1" t="str">
        <f t="shared" si="29"/>
        <v>Normal</v>
      </c>
    </row>
    <row r="387" spans="1:12" x14ac:dyDescent="0.25">
      <c r="A387">
        <v>19</v>
      </c>
      <c r="B387">
        <v>90</v>
      </c>
      <c r="C387">
        <v>70</v>
      </c>
      <c r="D387">
        <v>7.8</v>
      </c>
      <c r="E387">
        <v>98</v>
      </c>
      <c r="F387">
        <v>80</v>
      </c>
      <c r="G387" t="s">
        <v>8</v>
      </c>
      <c r="H387" s="1" t="str">
        <f t="shared" ref="H387:H450" si="30">IF(A387&lt;=20,"10-20",
 IF(A387&lt;=30,"20-30",
 IF(A387&lt;=40,"30-40",
 IF(A387&lt;=50,"40-50","50+"))))</f>
        <v>10-20</v>
      </c>
      <c r="I387" s="1" t="str">
        <f t="shared" ref="I387:I450" si="31">IF(AND(B387&lt;90,C387&lt;60),"Low BP",
 IF(AND(B387&lt;120,C387&lt;80),"Normal",
 IF(AND(B387&lt;140,C387&lt;90),"Pre-High",
 IF(AND(B387&lt;160,C387&lt;100),"High","Critical"))))</f>
        <v>Normal</v>
      </c>
      <c r="J387" s="1" t="str">
        <f t="shared" ref="J387:J450" si="32">IF(D387&lt;8,"Normal",
 IF(D387&lt;12,"Slightly High","High"))</f>
        <v>Normal</v>
      </c>
      <c r="K387" s="1" t="str">
        <f t="shared" ref="K387:K450" si="33">IF(F387&lt;70,"Low",
 IF(F387&lt;=85,"Normal","High"))</f>
        <v>Normal</v>
      </c>
      <c r="L387" s="1" t="str">
        <f t="shared" ref="L387:L450" si="34">IF(E387&lt;97.5,"Low",
 IF(E387&lt;=99,"Normal","High"))</f>
        <v>Normal</v>
      </c>
    </row>
    <row r="388" spans="1:12" x14ac:dyDescent="0.25">
      <c r="A388">
        <v>30</v>
      </c>
      <c r="B388">
        <v>120</v>
      </c>
      <c r="C388">
        <v>80</v>
      </c>
      <c r="D388">
        <v>7.8</v>
      </c>
      <c r="E388">
        <v>98</v>
      </c>
      <c r="F388">
        <v>70</v>
      </c>
      <c r="G388" t="s">
        <v>8</v>
      </c>
      <c r="H388" s="1" t="str">
        <f t="shared" si="30"/>
        <v>20-30</v>
      </c>
      <c r="I388" s="1" t="str">
        <f t="shared" si="31"/>
        <v>Pre-High</v>
      </c>
      <c r="J388" s="1" t="str">
        <f t="shared" si="32"/>
        <v>Normal</v>
      </c>
      <c r="K388" s="1" t="str">
        <f t="shared" si="33"/>
        <v>Normal</v>
      </c>
      <c r="L388" s="1" t="str">
        <f t="shared" si="34"/>
        <v>Normal</v>
      </c>
    </row>
    <row r="389" spans="1:12" x14ac:dyDescent="0.25">
      <c r="A389">
        <v>31</v>
      </c>
      <c r="B389">
        <v>120</v>
      </c>
      <c r="C389">
        <v>60</v>
      </c>
      <c r="D389">
        <v>6.1</v>
      </c>
      <c r="E389">
        <v>98</v>
      </c>
      <c r="F389">
        <v>76</v>
      </c>
      <c r="G389" t="s">
        <v>8</v>
      </c>
      <c r="H389" s="1" t="str">
        <f t="shared" si="30"/>
        <v>30-40</v>
      </c>
      <c r="I389" s="1" t="str">
        <f t="shared" si="31"/>
        <v>Pre-High</v>
      </c>
      <c r="J389" s="1" t="str">
        <f t="shared" si="32"/>
        <v>Normal</v>
      </c>
      <c r="K389" s="1" t="str">
        <f t="shared" si="33"/>
        <v>Normal</v>
      </c>
      <c r="L389" s="1" t="str">
        <f t="shared" si="34"/>
        <v>Normal</v>
      </c>
    </row>
    <row r="390" spans="1:12" x14ac:dyDescent="0.25">
      <c r="A390">
        <v>23</v>
      </c>
      <c r="B390">
        <v>120</v>
      </c>
      <c r="C390">
        <v>70</v>
      </c>
      <c r="D390">
        <v>7.8</v>
      </c>
      <c r="E390">
        <v>98</v>
      </c>
      <c r="F390">
        <v>70</v>
      </c>
      <c r="G390" t="s">
        <v>8</v>
      </c>
      <c r="H390" s="1" t="str">
        <f t="shared" si="30"/>
        <v>20-30</v>
      </c>
      <c r="I390" s="1" t="str">
        <f t="shared" si="31"/>
        <v>Pre-High</v>
      </c>
      <c r="J390" s="1" t="str">
        <f t="shared" si="32"/>
        <v>Normal</v>
      </c>
      <c r="K390" s="1" t="str">
        <f t="shared" si="33"/>
        <v>Normal</v>
      </c>
      <c r="L390" s="1" t="str">
        <f t="shared" si="34"/>
        <v>Normal</v>
      </c>
    </row>
    <row r="391" spans="1:12" x14ac:dyDescent="0.25">
      <c r="A391">
        <v>29</v>
      </c>
      <c r="B391">
        <v>130</v>
      </c>
      <c r="C391">
        <v>70</v>
      </c>
      <c r="D391">
        <v>7.8</v>
      </c>
      <c r="E391">
        <v>98</v>
      </c>
      <c r="F391">
        <v>78</v>
      </c>
      <c r="G391" t="s">
        <v>9</v>
      </c>
      <c r="H391" s="1" t="str">
        <f t="shared" si="30"/>
        <v>20-30</v>
      </c>
      <c r="I391" s="1" t="str">
        <f t="shared" si="31"/>
        <v>Pre-High</v>
      </c>
      <c r="J391" s="1" t="str">
        <f t="shared" si="32"/>
        <v>Normal</v>
      </c>
      <c r="K391" s="1" t="str">
        <f t="shared" si="33"/>
        <v>Normal</v>
      </c>
      <c r="L391" s="1" t="str">
        <f t="shared" si="34"/>
        <v>Normal</v>
      </c>
    </row>
    <row r="392" spans="1:12" x14ac:dyDescent="0.25">
      <c r="A392">
        <v>17</v>
      </c>
      <c r="B392">
        <v>85</v>
      </c>
      <c r="C392">
        <v>69</v>
      </c>
      <c r="D392">
        <v>7.8</v>
      </c>
      <c r="E392">
        <v>102</v>
      </c>
      <c r="F392">
        <v>86</v>
      </c>
      <c r="G392" t="s">
        <v>7</v>
      </c>
      <c r="H392" s="1" t="str">
        <f t="shared" si="30"/>
        <v>10-20</v>
      </c>
      <c r="I392" s="1" t="str">
        <f t="shared" si="31"/>
        <v>Normal</v>
      </c>
      <c r="J392" s="1" t="str">
        <f t="shared" si="32"/>
        <v>Normal</v>
      </c>
      <c r="K392" s="1" t="str">
        <f t="shared" si="33"/>
        <v>High</v>
      </c>
      <c r="L392" s="1" t="str">
        <f t="shared" si="34"/>
        <v>High</v>
      </c>
    </row>
    <row r="393" spans="1:12" x14ac:dyDescent="0.25">
      <c r="A393">
        <v>32</v>
      </c>
      <c r="B393">
        <v>120</v>
      </c>
      <c r="C393">
        <v>90</v>
      </c>
      <c r="D393">
        <v>7.8</v>
      </c>
      <c r="E393">
        <v>98</v>
      </c>
      <c r="F393">
        <v>70</v>
      </c>
      <c r="G393" t="s">
        <v>8</v>
      </c>
      <c r="H393" s="1" t="str">
        <f t="shared" si="30"/>
        <v>30-40</v>
      </c>
      <c r="I393" s="1" t="str">
        <f t="shared" si="31"/>
        <v>High</v>
      </c>
      <c r="J393" s="1" t="str">
        <f t="shared" si="32"/>
        <v>Normal</v>
      </c>
      <c r="K393" s="1" t="str">
        <f t="shared" si="33"/>
        <v>Normal</v>
      </c>
      <c r="L393" s="1" t="str">
        <f t="shared" si="34"/>
        <v>Normal</v>
      </c>
    </row>
    <row r="394" spans="1:12" x14ac:dyDescent="0.25">
      <c r="A394">
        <v>42</v>
      </c>
      <c r="B394">
        <v>120</v>
      </c>
      <c r="C394">
        <v>80</v>
      </c>
      <c r="D394">
        <v>7.8</v>
      </c>
      <c r="E394">
        <v>98</v>
      </c>
      <c r="F394">
        <v>70</v>
      </c>
      <c r="G394" t="s">
        <v>8</v>
      </c>
      <c r="H394" s="1" t="str">
        <f t="shared" si="30"/>
        <v>40-50</v>
      </c>
      <c r="I394" s="1" t="str">
        <f t="shared" si="31"/>
        <v>Pre-High</v>
      </c>
      <c r="J394" s="1" t="str">
        <f t="shared" si="32"/>
        <v>Normal</v>
      </c>
      <c r="K394" s="1" t="str">
        <f t="shared" si="33"/>
        <v>Normal</v>
      </c>
      <c r="L394" s="1" t="str">
        <f t="shared" si="34"/>
        <v>Normal</v>
      </c>
    </row>
    <row r="395" spans="1:12" x14ac:dyDescent="0.25">
      <c r="A395">
        <v>23</v>
      </c>
      <c r="B395">
        <v>90</v>
      </c>
      <c r="C395">
        <v>60</v>
      </c>
      <c r="D395">
        <v>7.8</v>
      </c>
      <c r="E395">
        <v>98</v>
      </c>
      <c r="F395">
        <v>76</v>
      </c>
      <c r="G395" t="s">
        <v>8</v>
      </c>
      <c r="H395" s="1" t="str">
        <f t="shared" si="30"/>
        <v>20-30</v>
      </c>
      <c r="I395" s="1" t="str">
        <f t="shared" si="31"/>
        <v>Normal</v>
      </c>
      <c r="J395" s="1" t="str">
        <f t="shared" si="32"/>
        <v>Normal</v>
      </c>
      <c r="K395" s="1" t="str">
        <f t="shared" si="33"/>
        <v>Normal</v>
      </c>
      <c r="L395" s="1" t="str">
        <f t="shared" si="34"/>
        <v>Normal</v>
      </c>
    </row>
    <row r="396" spans="1:12" x14ac:dyDescent="0.25">
      <c r="A396">
        <v>19</v>
      </c>
      <c r="B396">
        <v>120</v>
      </c>
      <c r="C396">
        <v>80</v>
      </c>
      <c r="D396">
        <v>7</v>
      </c>
      <c r="E396">
        <v>98</v>
      </c>
      <c r="F396">
        <v>70</v>
      </c>
      <c r="G396" t="s">
        <v>9</v>
      </c>
      <c r="H396" s="1" t="str">
        <f t="shared" si="30"/>
        <v>10-20</v>
      </c>
      <c r="I396" s="1" t="str">
        <f t="shared" si="31"/>
        <v>Pre-High</v>
      </c>
      <c r="J396" s="1" t="str">
        <f t="shared" si="32"/>
        <v>Normal</v>
      </c>
      <c r="K396" s="1" t="str">
        <f t="shared" si="33"/>
        <v>Normal</v>
      </c>
      <c r="L396" s="1" t="str">
        <f t="shared" si="34"/>
        <v>Normal</v>
      </c>
    </row>
    <row r="397" spans="1:12" x14ac:dyDescent="0.25">
      <c r="A397">
        <v>15</v>
      </c>
      <c r="B397">
        <v>76</v>
      </c>
      <c r="C397">
        <v>49</v>
      </c>
      <c r="D397">
        <v>7.8</v>
      </c>
      <c r="E397">
        <v>98</v>
      </c>
      <c r="F397">
        <v>77</v>
      </c>
      <c r="G397" t="s">
        <v>8</v>
      </c>
      <c r="H397" s="1" t="str">
        <f t="shared" si="30"/>
        <v>10-20</v>
      </c>
      <c r="I397" s="1" t="str">
        <f t="shared" si="31"/>
        <v>Low BP</v>
      </c>
      <c r="J397" s="1" t="str">
        <f t="shared" si="32"/>
        <v>Normal</v>
      </c>
      <c r="K397" s="1" t="str">
        <f t="shared" si="33"/>
        <v>Normal</v>
      </c>
      <c r="L397" s="1" t="str">
        <f t="shared" si="34"/>
        <v>Normal</v>
      </c>
    </row>
    <row r="398" spans="1:12" x14ac:dyDescent="0.25">
      <c r="A398">
        <v>20</v>
      </c>
      <c r="B398">
        <v>120</v>
      </c>
      <c r="C398">
        <v>75</v>
      </c>
      <c r="D398">
        <v>7.8</v>
      </c>
      <c r="E398">
        <v>98</v>
      </c>
      <c r="F398">
        <v>70</v>
      </c>
      <c r="G398" t="s">
        <v>8</v>
      </c>
      <c r="H398" s="1" t="str">
        <f t="shared" si="30"/>
        <v>10-20</v>
      </c>
      <c r="I398" s="1" t="str">
        <f t="shared" si="31"/>
        <v>Pre-High</v>
      </c>
      <c r="J398" s="1" t="str">
        <f t="shared" si="32"/>
        <v>Normal</v>
      </c>
      <c r="K398" s="1" t="str">
        <f t="shared" si="33"/>
        <v>Normal</v>
      </c>
      <c r="L398" s="1" t="str">
        <f t="shared" si="34"/>
        <v>Normal</v>
      </c>
    </row>
    <row r="399" spans="1:12" x14ac:dyDescent="0.25">
      <c r="A399">
        <v>48</v>
      </c>
      <c r="B399">
        <v>120</v>
      </c>
      <c r="C399">
        <v>80</v>
      </c>
      <c r="D399">
        <v>11</v>
      </c>
      <c r="E399">
        <v>98</v>
      </c>
      <c r="F399">
        <v>88</v>
      </c>
      <c r="G399" t="s">
        <v>7</v>
      </c>
      <c r="H399" s="1" t="str">
        <f t="shared" si="30"/>
        <v>40-50</v>
      </c>
      <c r="I399" s="1" t="str">
        <f t="shared" si="31"/>
        <v>Pre-High</v>
      </c>
      <c r="J399" s="1" t="str">
        <f t="shared" si="32"/>
        <v>Slightly High</v>
      </c>
      <c r="K399" s="1" t="str">
        <f t="shared" si="33"/>
        <v>High</v>
      </c>
      <c r="L399" s="1" t="str">
        <f t="shared" si="34"/>
        <v>Normal</v>
      </c>
    </row>
    <row r="400" spans="1:12" x14ac:dyDescent="0.25">
      <c r="A400">
        <v>15</v>
      </c>
      <c r="B400">
        <v>120</v>
      </c>
      <c r="C400">
        <v>80</v>
      </c>
      <c r="D400">
        <v>7.8</v>
      </c>
      <c r="E400">
        <v>98</v>
      </c>
      <c r="F400">
        <v>70</v>
      </c>
      <c r="G400" t="s">
        <v>8</v>
      </c>
      <c r="H400" s="1" t="str">
        <f t="shared" si="30"/>
        <v>10-20</v>
      </c>
      <c r="I400" s="1" t="str">
        <f t="shared" si="31"/>
        <v>Pre-High</v>
      </c>
      <c r="J400" s="1" t="str">
        <f t="shared" si="32"/>
        <v>Normal</v>
      </c>
      <c r="K400" s="1" t="str">
        <f t="shared" si="33"/>
        <v>Normal</v>
      </c>
      <c r="L400" s="1" t="str">
        <f t="shared" si="34"/>
        <v>Normal</v>
      </c>
    </row>
    <row r="401" spans="1:12" x14ac:dyDescent="0.25">
      <c r="A401">
        <v>25</v>
      </c>
      <c r="B401">
        <v>120</v>
      </c>
      <c r="C401">
        <v>80</v>
      </c>
      <c r="D401">
        <v>7.8</v>
      </c>
      <c r="E401">
        <v>98</v>
      </c>
      <c r="F401">
        <v>66</v>
      </c>
      <c r="G401" t="s">
        <v>8</v>
      </c>
      <c r="H401" s="1" t="str">
        <f t="shared" si="30"/>
        <v>20-30</v>
      </c>
      <c r="I401" s="1" t="str">
        <f t="shared" si="31"/>
        <v>Pre-High</v>
      </c>
      <c r="J401" s="1" t="str">
        <f t="shared" si="32"/>
        <v>Normal</v>
      </c>
      <c r="K401" s="1" t="str">
        <f t="shared" si="33"/>
        <v>Low</v>
      </c>
      <c r="L401" s="1" t="str">
        <f t="shared" si="34"/>
        <v>Normal</v>
      </c>
    </row>
    <row r="402" spans="1:12" x14ac:dyDescent="0.25">
      <c r="A402">
        <v>22</v>
      </c>
      <c r="B402">
        <v>100</v>
      </c>
      <c r="C402">
        <v>65</v>
      </c>
      <c r="D402">
        <v>7.8</v>
      </c>
      <c r="E402">
        <v>98</v>
      </c>
      <c r="F402">
        <v>80</v>
      </c>
      <c r="G402" t="s">
        <v>8</v>
      </c>
      <c r="H402" s="1" t="str">
        <f t="shared" si="30"/>
        <v>20-30</v>
      </c>
      <c r="I402" s="1" t="str">
        <f t="shared" si="31"/>
        <v>Normal</v>
      </c>
      <c r="J402" s="1" t="str">
        <f t="shared" si="32"/>
        <v>Normal</v>
      </c>
      <c r="K402" s="1" t="str">
        <f t="shared" si="33"/>
        <v>Normal</v>
      </c>
      <c r="L402" s="1" t="str">
        <f t="shared" si="34"/>
        <v>Normal</v>
      </c>
    </row>
    <row r="403" spans="1:12" x14ac:dyDescent="0.25">
      <c r="A403">
        <v>12</v>
      </c>
      <c r="B403">
        <v>120</v>
      </c>
      <c r="C403">
        <v>95</v>
      </c>
      <c r="D403">
        <v>7.8</v>
      </c>
      <c r="E403">
        <v>98</v>
      </c>
      <c r="F403">
        <v>60</v>
      </c>
      <c r="G403" t="s">
        <v>8</v>
      </c>
      <c r="H403" s="1" t="str">
        <f t="shared" si="30"/>
        <v>10-20</v>
      </c>
      <c r="I403" s="1" t="str">
        <f t="shared" si="31"/>
        <v>High</v>
      </c>
      <c r="J403" s="1" t="str">
        <f t="shared" si="32"/>
        <v>Normal</v>
      </c>
      <c r="K403" s="1" t="str">
        <f t="shared" si="33"/>
        <v>Low</v>
      </c>
      <c r="L403" s="1" t="str">
        <f t="shared" si="34"/>
        <v>Normal</v>
      </c>
    </row>
    <row r="404" spans="1:12" x14ac:dyDescent="0.25">
      <c r="A404">
        <v>35</v>
      </c>
      <c r="B404">
        <v>100</v>
      </c>
      <c r="C404">
        <v>70</v>
      </c>
      <c r="D404">
        <v>7.8</v>
      </c>
      <c r="E404">
        <v>98</v>
      </c>
      <c r="F404">
        <v>60</v>
      </c>
      <c r="G404" t="s">
        <v>8</v>
      </c>
      <c r="H404" s="1" t="str">
        <f t="shared" si="30"/>
        <v>30-40</v>
      </c>
      <c r="I404" s="1" t="str">
        <f t="shared" si="31"/>
        <v>Normal</v>
      </c>
      <c r="J404" s="1" t="str">
        <f t="shared" si="32"/>
        <v>Normal</v>
      </c>
      <c r="K404" s="1" t="str">
        <f t="shared" si="33"/>
        <v>Low</v>
      </c>
      <c r="L404" s="1" t="str">
        <f t="shared" si="34"/>
        <v>Normal</v>
      </c>
    </row>
    <row r="405" spans="1:12" x14ac:dyDescent="0.25">
      <c r="A405">
        <v>19</v>
      </c>
      <c r="B405">
        <v>120</v>
      </c>
      <c r="C405">
        <v>85</v>
      </c>
      <c r="D405">
        <v>7.8</v>
      </c>
      <c r="E405">
        <v>98</v>
      </c>
      <c r="F405">
        <v>60</v>
      </c>
      <c r="G405" t="s">
        <v>9</v>
      </c>
      <c r="H405" s="1" t="str">
        <f t="shared" si="30"/>
        <v>10-20</v>
      </c>
      <c r="I405" s="1" t="str">
        <f t="shared" si="31"/>
        <v>Pre-High</v>
      </c>
      <c r="J405" s="1" t="str">
        <f t="shared" si="32"/>
        <v>Normal</v>
      </c>
      <c r="K405" s="1" t="str">
        <f t="shared" si="33"/>
        <v>Low</v>
      </c>
      <c r="L405" s="1" t="str">
        <f t="shared" si="34"/>
        <v>Normal</v>
      </c>
    </row>
    <row r="406" spans="1:12" x14ac:dyDescent="0.25">
      <c r="A406">
        <v>60</v>
      </c>
      <c r="B406">
        <v>90</v>
      </c>
      <c r="C406">
        <v>65</v>
      </c>
      <c r="D406">
        <v>6.8</v>
      </c>
      <c r="E406">
        <v>98</v>
      </c>
      <c r="F406">
        <v>77</v>
      </c>
      <c r="G406" t="s">
        <v>9</v>
      </c>
      <c r="H406" s="1" t="str">
        <f t="shared" si="30"/>
        <v>50+</v>
      </c>
      <c r="I406" s="1" t="str">
        <f t="shared" si="31"/>
        <v>Normal</v>
      </c>
      <c r="J406" s="1" t="str">
        <f t="shared" si="32"/>
        <v>Normal</v>
      </c>
      <c r="K406" s="1" t="str">
        <f t="shared" si="33"/>
        <v>Normal</v>
      </c>
      <c r="L406" s="1" t="str">
        <f t="shared" si="34"/>
        <v>Normal</v>
      </c>
    </row>
    <row r="407" spans="1:12" x14ac:dyDescent="0.25">
      <c r="A407">
        <v>55</v>
      </c>
      <c r="B407">
        <v>120</v>
      </c>
      <c r="C407">
        <v>90</v>
      </c>
      <c r="D407">
        <v>6.8</v>
      </c>
      <c r="E407">
        <v>98</v>
      </c>
      <c r="F407">
        <v>66</v>
      </c>
      <c r="G407" t="s">
        <v>9</v>
      </c>
      <c r="H407" s="1" t="str">
        <f t="shared" si="30"/>
        <v>50+</v>
      </c>
      <c r="I407" s="1" t="str">
        <f t="shared" si="31"/>
        <v>High</v>
      </c>
      <c r="J407" s="1" t="str">
        <f t="shared" si="32"/>
        <v>Normal</v>
      </c>
      <c r="K407" s="1" t="str">
        <f t="shared" si="33"/>
        <v>Low</v>
      </c>
      <c r="L407" s="1" t="str">
        <f t="shared" si="34"/>
        <v>Normal</v>
      </c>
    </row>
    <row r="408" spans="1:12" x14ac:dyDescent="0.25">
      <c r="A408">
        <v>25</v>
      </c>
      <c r="B408">
        <v>120</v>
      </c>
      <c r="C408">
        <v>80</v>
      </c>
      <c r="D408">
        <v>6.8</v>
      </c>
      <c r="E408">
        <v>98</v>
      </c>
      <c r="F408">
        <v>66</v>
      </c>
      <c r="G408" t="s">
        <v>9</v>
      </c>
      <c r="H408" s="1" t="str">
        <f t="shared" si="30"/>
        <v>20-30</v>
      </c>
      <c r="I408" s="1" t="str">
        <f t="shared" si="31"/>
        <v>Pre-High</v>
      </c>
      <c r="J408" s="1" t="str">
        <f t="shared" si="32"/>
        <v>Normal</v>
      </c>
      <c r="K408" s="1" t="str">
        <f t="shared" si="33"/>
        <v>Low</v>
      </c>
      <c r="L408" s="1" t="str">
        <f t="shared" si="34"/>
        <v>Normal</v>
      </c>
    </row>
    <row r="409" spans="1:12" x14ac:dyDescent="0.25">
      <c r="A409">
        <v>22</v>
      </c>
      <c r="B409">
        <v>100</v>
      </c>
      <c r="C409">
        <v>65</v>
      </c>
      <c r="D409">
        <v>6.8</v>
      </c>
      <c r="E409">
        <v>98</v>
      </c>
      <c r="F409">
        <v>88</v>
      </c>
      <c r="G409" t="s">
        <v>8</v>
      </c>
      <c r="H409" s="1" t="str">
        <f t="shared" si="30"/>
        <v>20-30</v>
      </c>
      <c r="I409" s="1" t="str">
        <f t="shared" si="31"/>
        <v>Normal</v>
      </c>
      <c r="J409" s="1" t="str">
        <f t="shared" si="32"/>
        <v>Normal</v>
      </c>
      <c r="K409" s="1" t="str">
        <f t="shared" si="33"/>
        <v>High</v>
      </c>
      <c r="L409" s="1" t="str">
        <f t="shared" si="34"/>
        <v>Normal</v>
      </c>
    </row>
    <row r="410" spans="1:12" x14ac:dyDescent="0.25">
      <c r="A410">
        <v>12</v>
      </c>
      <c r="B410">
        <v>120</v>
      </c>
      <c r="C410">
        <v>95</v>
      </c>
      <c r="D410">
        <v>6.8</v>
      </c>
      <c r="E410">
        <v>98</v>
      </c>
      <c r="F410">
        <v>60</v>
      </c>
      <c r="G410" t="s">
        <v>9</v>
      </c>
      <c r="H410" s="1" t="str">
        <f t="shared" si="30"/>
        <v>10-20</v>
      </c>
      <c r="I410" s="1" t="str">
        <f t="shared" si="31"/>
        <v>High</v>
      </c>
      <c r="J410" s="1" t="str">
        <f t="shared" si="32"/>
        <v>Normal</v>
      </c>
      <c r="K410" s="1" t="str">
        <f t="shared" si="33"/>
        <v>Low</v>
      </c>
      <c r="L410" s="1" t="str">
        <f t="shared" si="34"/>
        <v>Normal</v>
      </c>
    </row>
    <row r="411" spans="1:12" x14ac:dyDescent="0.25">
      <c r="A411">
        <v>35</v>
      </c>
      <c r="B411">
        <v>100</v>
      </c>
      <c r="C411">
        <v>70</v>
      </c>
      <c r="D411">
        <v>6.8</v>
      </c>
      <c r="E411">
        <v>98</v>
      </c>
      <c r="F411">
        <v>60</v>
      </c>
      <c r="G411" t="s">
        <v>9</v>
      </c>
      <c r="H411" s="1" t="str">
        <f t="shared" si="30"/>
        <v>30-40</v>
      </c>
      <c r="I411" s="1" t="str">
        <f t="shared" si="31"/>
        <v>Normal</v>
      </c>
      <c r="J411" s="1" t="str">
        <f t="shared" si="32"/>
        <v>Normal</v>
      </c>
      <c r="K411" s="1" t="str">
        <f t="shared" si="33"/>
        <v>Low</v>
      </c>
      <c r="L411" s="1" t="str">
        <f t="shared" si="34"/>
        <v>Normal</v>
      </c>
    </row>
    <row r="412" spans="1:12" x14ac:dyDescent="0.25">
      <c r="A412">
        <v>19</v>
      </c>
      <c r="B412">
        <v>120</v>
      </c>
      <c r="C412">
        <v>90</v>
      </c>
      <c r="D412">
        <v>6.8</v>
      </c>
      <c r="E412">
        <v>98</v>
      </c>
      <c r="F412">
        <v>60</v>
      </c>
      <c r="G412" t="s">
        <v>9</v>
      </c>
      <c r="H412" s="1" t="str">
        <f t="shared" si="30"/>
        <v>10-20</v>
      </c>
      <c r="I412" s="1" t="str">
        <f t="shared" si="31"/>
        <v>High</v>
      </c>
      <c r="J412" s="1" t="str">
        <f t="shared" si="32"/>
        <v>Normal</v>
      </c>
      <c r="K412" s="1" t="str">
        <f t="shared" si="33"/>
        <v>Low</v>
      </c>
      <c r="L412" s="1" t="str">
        <f t="shared" si="34"/>
        <v>Normal</v>
      </c>
    </row>
    <row r="413" spans="1:12" x14ac:dyDescent="0.25">
      <c r="A413">
        <v>60</v>
      </c>
      <c r="B413">
        <v>90</v>
      </c>
      <c r="C413">
        <v>65</v>
      </c>
      <c r="D413">
        <v>6.8</v>
      </c>
      <c r="E413">
        <v>98</v>
      </c>
      <c r="F413">
        <v>77</v>
      </c>
      <c r="G413" t="s">
        <v>9</v>
      </c>
      <c r="H413" s="1" t="str">
        <f t="shared" si="30"/>
        <v>50+</v>
      </c>
      <c r="I413" s="1" t="str">
        <f t="shared" si="31"/>
        <v>Normal</v>
      </c>
      <c r="J413" s="1" t="str">
        <f t="shared" si="32"/>
        <v>Normal</v>
      </c>
      <c r="K413" s="1" t="str">
        <f t="shared" si="33"/>
        <v>Normal</v>
      </c>
      <c r="L413" s="1" t="str">
        <f t="shared" si="34"/>
        <v>Normal</v>
      </c>
    </row>
    <row r="414" spans="1:12" x14ac:dyDescent="0.25">
      <c r="A414">
        <v>55</v>
      </c>
      <c r="B414">
        <v>120</v>
      </c>
      <c r="C414">
        <v>90</v>
      </c>
      <c r="D414">
        <v>6.8</v>
      </c>
      <c r="E414">
        <v>98</v>
      </c>
      <c r="F414">
        <v>78</v>
      </c>
      <c r="G414" t="s">
        <v>8</v>
      </c>
      <c r="H414" s="1" t="str">
        <f t="shared" si="30"/>
        <v>50+</v>
      </c>
      <c r="I414" s="1" t="str">
        <f t="shared" si="31"/>
        <v>High</v>
      </c>
      <c r="J414" s="1" t="str">
        <f t="shared" si="32"/>
        <v>Normal</v>
      </c>
      <c r="K414" s="1" t="str">
        <f t="shared" si="33"/>
        <v>Normal</v>
      </c>
      <c r="L414" s="1" t="str">
        <f t="shared" si="34"/>
        <v>Normal</v>
      </c>
    </row>
    <row r="415" spans="1:12" x14ac:dyDescent="0.25">
      <c r="A415">
        <v>50</v>
      </c>
      <c r="B415">
        <v>130</v>
      </c>
      <c r="C415">
        <v>80</v>
      </c>
      <c r="D415">
        <v>16</v>
      </c>
      <c r="E415">
        <v>102</v>
      </c>
      <c r="F415">
        <v>76</v>
      </c>
      <c r="G415" t="s">
        <v>9</v>
      </c>
      <c r="H415" s="1" t="str">
        <f t="shared" si="30"/>
        <v>40-50</v>
      </c>
      <c r="I415" s="1" t="str">
        <f t="shared" si="31"/>
        <v>Pre-High</v>
      </c>
      <c r="J415" s="1" t="str">
        <f t="shared" si="32"/>
        <v>High</v>
      </c>
      <c r="K415" s="1" t="str">
        <f t="shared" si="33"/>
        <v>Normal</v>
      </c>
      <c r="L415" s="1" t="str">
        <f t="shared" si="34"/>
        <v>High</v>
      </c>
    </row>
    <row r="416" spans="1:12" x14ac:dyDescent="0.25">
      <c r="A416">
        <v>27</v>
      </c>
      <c r="B416">
        <v>120</v>
      </c>
      <c r="C416">
        <v>90</v>
      </c>
      <c r="D416">
        <v>6.8</v>
      </c>
      <c r="E416">
        <v>102</v>
      </c>
      <c r="F416">
        <v>68</v>
      </c>
      <c r="G416" t="s">
        <v>9</v>
      </c>
      <c r="H416" s="1" t="str">
        <f t="shared" si="30"/>
        <v>20-30</v>
      </c>
      <c r="I416" s="1" t="str">
        <f t="shared" si="31"/>
        <v>High</v>
      </c>
      <c r="J416" s="1" t="str">
        <f t="shared" si="32"/>
        <v>Normal</v>
      </c>
      <c r="K416" s="1" t="str">
        <f t="shared" si="33"/>
        <v>Low</v>
      </c>
      <c r="L416" s="1" t="str">
        <f t="shared" si="34"/>
        <v>High</v>
      </c>
    </row>
    <row r="417" spans="1:12" x14ac:dyDescent="0.25">
      <c r="A417">
        <v>60</v>
      </c>
      <c r="B417">
        <v>140</v>
      </c>
      <c r="C417">
        <v>90</v>
      </c>
      <c r="D417">
        <v>12</v>
      </c>
      <c r="E417">
        <v>98</v>
      </c>
      <c r="F417">
        <v>77</v>
      </c>
      <c r="G417" t="s">
        <v>7</v>
      </c>
      <c r="H417" s="1" t="str">
        <f t="shared" si="30"/>
        <v>50+</v>
      </c>
      <c r="I417" s="1" t="str">
        <f t="shared" si="31"/>
        <v>High</v>
      </c>
      <c r="J417" s="1" t="str">
        <f t="shared" si="32"/>
        <v>High</v>
      </c>
      <c r="K417" s="1" t="str">
        <f t="shared" si="33"/>
        <v>Normal</v>
      </c>
      <c r="L417" s="1" t="str">
        <f t="shared" si="34"/>
        <v>Normal</v>
      </c>
    </row>
    <row r="418" spans="1:12" x14ac:dyDescent="0.25">
      <c r="A418">
        <v>55</v>
      </c>
      <c r="B418">
        <v>100</v>
      </c>
      <c r="C418">
        <v>70</v>
      </c>
      <c r="D418">
        <v>6.8</v>
      </c>
      <c r="E418">
        <v>101</v>
      </c>
      <c r="F418">
        <v>80</v>
      </c>
      <c r="G418" t="s">
        <v>9</v>
      </c>
      <c r="H418" s="1" t="str">
        <f t="shared" si="30"/>
        <v>50+</v>
      </c>
      <c r="I418" s="1" t="str">
        <f t="shared" si="31"/>
        <v>Normal</v>
      </c>
      <c r="J418" s="1" t="str">
        <f t="shared" si="32"/>
        <v>Normal</v>
      </c>
      <c r="K418" s="1" t="str">
        <f t="shared" si="33"/>
        <v>Normal</v>
      </c>
      <c r="L418" s="1" t="str">
        <f t="shared" si="34"/>
        <v>High</v>
      </c>
    </row>
    <row r="419" spans="1:12" x14ac:dyDescent="0.25">
      <c r="A419">
        <v>60</v>
      </c>
      <c r="B419">
        <v>140</v>
      </c>
      <c r="C419">
        <v>80</v>
      </c>
      <c r="D419">
        <v>16</v>
      </c>
      <c r="E419">
        <v>98</v>
      </c>
      <c r="F419">
        <v>66</v>
      </c>
      <c r="G419" t="s">
        <v>7</v>
      </c>
      <c r="H419" s="1" t="str">
        <f t="shared" si="30"/>
        <v>50+</v>
      </c>
      <c r="I419" s="1" t="str">
        <f t="shared" si="31"/>
        <v>High</v>
      </c>
      <c r="J419" s="1" t="str">
        <f t="shared" si="32"/>
        <v>High</v>
      </c>
      <c r="K419" s="1" t="str">
        <f t="shared" si="33"/>
        <v>Low</v>
      </c>
      <c r="L419" s="1" t="str">
        <f t="shared" si="34"/>
        <v>Normal</v>
      </c>
    </row>
    <row r="420" spans="1:12" x14ac:dyDescent="0.25">
      <c r="A420">
        <v>12</v>
      </c>
      <c r="B420">
        <v>120</v>
      </c>
      <c r="C420">
        <v>90</v>
      </c>
      <c r="D420">
        <v>6.8</v>
      </c>
      <c r="E420">
        <v>98</v>
      </c>
      <c r="F420">
        <v>80</v>
      </c>
      <c r="G420" t="s">
        <v>9</v>
      </c>
      <c r="H420" s="1" t="str">
        <f t="shared" si="30"/>
        <v>10-20</v>
      </c>
      <c r="I420" s="1" t="str">
        <f t="shared" si="31"/>
        <v>High</v>
      </c>
      <c r="J420" s="1" t="str">
        <f t="shared" si="32"/>
        <v>Normal</v>
      </c>
      <c r="K420" s="1" t="str">
        <f t="shared" si="33"/>
        <v>Normal</v>
      </c>
      <c r="L420" s="1" t="str">
        <f t="shared" si="34"/>
        <v>Normal</v>
      </c>
    </row>
    <row r="421" spans="1:12" x14ac:dyDescent="0.25">
      <c r="A421">
        <v>17</v>
      </c>
      <c r="B421">
        <v>140</v>
      </c>
      <c r="C421">
        <v>100</v>
      </c>
      <c r="D421">
        <v>6.8</v>
      </c>
      <c r="E421">
        <v>103</v>
      </c>
      <c r="F421">
        <v>80</v>
      </c>
      <c r="G421" t="s">
        <v>7</v>
      </c>
      <c r="H421" s="1" t="str">
        <f t="shared" si="30"/>
        <v>10-20</v>
      </c>
      <c r="I421" s="1" t="str">
        <f t="shared" si="31"/>
        <v>Critical</v>
      </c>
      <c r="J421" s="1" t="str">
        <f t="shared" si="32"/>
        <v>Normal</v>
      </c>
      <c r="K421" s="1" t="str">
        <f t="shared" si="33"/>
        <v>Normal</v>
      </c>
      <c r="L421" s="1" t="str">
        <f t="shared" si="34"/>
        <v>High</v>
      </c>
    </row>
    <row r="422" spans="1:12" x14ac:dyDescent="0.25">
      <c r="A422">
        <v>60</v>
      </c>
      <c r="B422">
        <v>120</v>
      </c>
      <c r="C422">
        <v>80</v>
      </c>
      <c r="D422">
        <v>6.8</v>
      </c>
      <c r="E422">
        <v>98</v>
      </c>
      <c r="F422">
        <v>77</v>
      </c>
      <c r="G422" t="s">
        <v>9</v>
      </c>
      <c r="H422" s="1" t="str">
        <f t="shared" si="30"/>
        <v>50+</v>
      </c>
      <c r="I422" s="1" t="str">
        <f t="shared" si="31"/>
        <v>Pre-High</v>
      </c>
      <c r="J422" s="1" t="str">
        <f t="shared" si="32"/>
        <v>Normal</v>
      </c>
      <c r="K422" s="1" t="str">
        <f t="shared" si="33"/>
        <v>Normal</v>
      </c>
      <c r="L422" s="1" t="str">
        <f t="shared" si="34"/>
        <v>Normal</v>
      </c>
    </row>
    <row r="423" spans="1:12" x14ac:dyDescent="0.25">
      <c r="A423">
        <v>22</v>
      </c>
      <c r="B423">
        <v>100</v>
      </c>
      <c r="C423">
        <v>65</v>
      </c>
      <c r="D423">
        <v>6.8</v>
      </c>
      <c r="E423">
        <v>98</v>
      </c>
      <c r="F423">
        <v>88</v>
      </c>
      <c r="G423" t="s">
        <v>8</v>
      </c>
      <c r="H423" s="1" t="str">
        <f t="shared" si="30"/>
        <v>20-30</v>
      </c>
      <c r="I423" s="1" t="str">
        <f t="shared" si="31"/>
        <v>Normal</v>
      </c>
      <c r="J423" s="1" t="str">
        <f t="shared" si="32"/>
        <v>Normal</v>
      </c>
      <c r="K423" s="1" t="str">
        <f t="shared" si="33"/>
        <v>High</v>
      </c>
      <c r="L423" s="1" t="str">
        <f t="shared" si="34"/>
        <v>Normal</v>
      </c>
    </row>
    <row r="424" spans="1:12" x14ac:dyDescent="0.25">
      <c r="A424">
        <v>36</v>
      </c>
      <c r="B424">
        <v>140</v>
      </c>
      <c r="C424">
        <v>100</v>
      </c>
      <c r="D424">
        <v>6.8</v>
      </c>
      <c r="E424">
        <v>102</v>
      </c>
      <c r="F424">
        <v>76</v>
      </c>
      <c r="G424" t="s">
        <v>7</v>
      </c>
      <c r="H424" s="1" t="str">
        <f t="shared" si="30"/>
        <v>30-40</v>
      </c>
      <c r="I424" s="1" t="str">
        <f t="shared" si="31"/>
        <v>Critical</v>
      </c>
      <c r="J424" s="1" t="str">
        <f t="shared" si="32"/>
        <v>Normal</v>
      </c>
      <c r="K424" s="1" t="str">
        <f t="shared" si="33"/>
        <v>Normal</v>
      </c>
      <c r="L424" s="1" t="str">
        <f t="shared" si="34"/>
        <v>High</v>
      </c>
    </row>
    <row r="425" spans="1:12" x14ac:dyDescent="0.25">
      <c r="A425">
        <v>22</v>
      </c>
      <c r="B425">
        <v>90</v>
      </c>
      <c r="C425">
        <v>60</v>
      </c>
      <c r="D425">
        <v>6.8</v>
      </c>
      <c r="E425">
        <v>98</v>
      </c>
      <c r="F425">
        <v>77</v>
      </c>
      <c r="G425" t="s">
        <v>8</v>
      </c>
      <c r="H425" s="1" t="str">
        <f t="shared" si="30"/>
        <v>20-30</v>
      </c>
      <c r="I425" s="1" t="str">
        <f t="shared" si="31"/>
        <v>Normal</v>
      </c>
      <c r="J425" s="1" t="str">
        <f t="shared" si="32"/>
        <v>Normal</v>
      </c>
      <c r="K425" s="1" t="str">
        <f t="shared" si="33"/>
        <v>Normal</v>
      </c>
      <c r="L425" s="1" t="str">
        <f t="shared" si="34"/>
        <v>Normal</v>
      </c>
    </row>
    <row r="426" spans="1:12" x14ac:dyDescent="0.25">
      <c r="A426">
        <v>25</v>
      </c>
      <c r="B426">
        <v>120</v>
      </c>
      <c r="C426">
        <v>100</v>
      </c>
      <c r="D426">
        <v>6.8</v>
      </c>
      <c r="E426">
        <v>98</v>
      </c>
      <c r="F426">
        <v>60</v>
      </c>
      <c r="G426" t="s">
        <v>9</v>
      </c>
      <c r="H426" s="1" t="str">
        <f t="shared" si="30"/>
        <v>20-30</v>
      </c>
      <c r="I426" s="1" t="str">
        <f t="shared" si="31"/>
        <v>Critical</v>
      </c>
      <c r="J426" s="1" t="str">
        <f t="shared" si="32"/>
        <v>Normal</v>
      </c>
      <c r="K426" s="1" t="str">
        <f t="shared" si="33"/>
        <v>Low</v>
      </c>
      <c r="L426" s="1" t="str">
        <f t="shared" si="34"/>
        <v>Normal</v>
      </c>
    </row>
    <row r="427" spans="1:12" x14ac:dyDescent="0.25">
      <c r="A427">
        <v>35</v>
      </c>
      <c r="B427">
        <v>100</v>
      </c>
      <c r="C427">
        <v>60</v>
      </c>
      <c r="D427">
        <v>15</v>
      </c>
      <c r="E427">
        <v>98</v>
      </c>
      <c r="F427">
        <v>80</v>
      </c>
      <c r="G427" t="s">
        <v>7</v>
      </c>
      <c r="H427" s="1" t="str">
        <f t="shared" si="30"/>
        <v>30-40</v>
      </c>
      <c r="I427" s="1" t="str">
        <f t="shared" si="31"/>
        <v>Normal</v>
      </c>
      <c r="J427" s="1" t="str">
        <f t="shared" si="32"/>
        <v>High</v>
      </c>
      <c r="K427" s="1" t="str">
        <f t="shared" si="33"/>
        <v>Normal</v>
      </c>
      <c r="L427" s="1" t="str">
        <f t="shared" si="34"/>
        <v>Normal</v>
      </c>
    </row>
    <row r="428" spans="1:12" x14ac:dyDescent="0.25">
      <c r="A428">
        <v>40</v>
      </c>
      <c r="B428">
        <v>140</v>
      </c>
      <c r="C428">
        <v>100</v>
      </c>
      <c r="D428">
        <v>13</v>
      </c>
      <c r="E428">
        <v>101</v>
      </c>
      <c r="F428">
        <v>66</v>
      </c>
      <c r="G428" t="s">
        <v>7</v>
      </c>
      <c r="H428" s="1" t="str">
        <f t="shared" si="30"/>
        <v>30-40</v>
      </c>
      <c r="I428" s="1" t="str">
        <f t="shared" si="31"/>
        <v>Critical</v>
      </c>
      <c r="J428" s="1" t="str">
        <f t="shared" si="32"/>
        <v>High</v>
      </c>
      <c r="K428" s="1" t="str">
        <f t="shared" si="33"/>
        <v>Low</v>
      </c>
      <c r="L428" s="1" t="str">
        <f t="shared" si="34"/>
        <v>High</v>
      </c>
    </row>
    <row r="429" spans="1:12" x14ac:dyDescent="0.25">
      <c r="A429">
        <v>27</v>
      </c>
      <c r="B429">
        <v>120</v>
      </c>
      <c r="C429">
        <v>70</v>
      </c>
      <c r="D429">
        <v>6.8</v>
      </c>
      <c r="E429">
        <v>98</v>
      </c>
      <c r="F429">
        <v>77</v>
      </c>
      <c r="G429" t="s">
        <v>8</v>
      </c>
      <c r="H429" s="1" t="str">
        <f t="shared" si="30"/>
        <v>20-30</v>
      </c>
      <c r="I429" s="1" t="str">
        <f t="shared" si="31"/>
        <v>Pre-High</v>
      </c>
      <c r="J429" s="1" t="str">
        <f t="shared" si="32"/>
        <v>Normal</v>
      </c>
      <c r="K429" s="1" t="str">
        <f t="shared" si="33"/>
        <v>Normal</v>
      </c>
      <c r="L429" s="1" t="str">
        <f t="shared" si="34"/>
        <v>Normal</v>
      </c>
    </row>
    <row r="430" spans="1:12" x14ac:dyDescent="0.25">
      <c r="A430">
        <v>36</v>
      </c>
      <c r="B430">
        <v>140</v>
      </c>
      <c r="C430">
        <v>100</v>
      </c>
      <c r="D430">
        <v>6.8</v>
      </c>
      <c r="E430">
        <v>102</v>
      </c>
      <c r="F430">
        <v>76</v>
      </c>
      <c r="G430" t="s">
        <v>7</v>
      </c>
      <c r="H430" s="1" t="str">
        <f t="shared" si="30"/>
        <v>30-40</v>
      </c>
      <c r="I430" s="1" t="str">
        <f t="shared" si="31"/>
        <v>Critical</v>
      </c>
      <c r="J430" s="1" t="str">
        <f t="shared" si="32"/>
        <v>Normal</v>
      </c>
      <c r="K430" s="1" t="str">
        <f t="shared" si="33"/>
        <v>Normal</v>
      </c>
      <c r="L430" s="1" t="str">
        <f t="shared" si="34"/>
        <v>High</v>
      </c>
    </row>
    <row r="431" spans="1:12" x14ac:dyDescent="0.25">
      <c r="A431">
        <v>22</v>
      </c>
      <c r="B431">
        <v>90</v>
      </c>
      <c r="C431">
        <v>60</v>
      </c>
      <c r="D431">
        <v>6.8</v>
      </c>
      <c r="E431">
        <v>98</v>
      </c>
      <c r="F431">
        <v>77</v>
      </c>
      <c r="G431" t="s">
        <v>9</v>
      </c>
      <c r="H431" s="1" t="str">
        <f t="shared" si="30"/>
        <v>20-30</v>
      </c>
      <c r="I431" s="1" t="str">
        <f t="shared" si="31"/>
        <v>Normal</v>
      </c>
      <c r="J431" s="1" t="str">
        <f t="shared" si="32"/>
        <v>Normal</v>
      </c>
      <c r="K431" s="1" t="str">
        <f t="shared" si="33"/>
        <v>Normal</v>
      </c>
      <c r="L431" s="1" t="str">
        <f t="shared" si="34"/>
        <v>Normal</v>
      </c>
    </row>
    <row r="432" spans="1:12" x14ac:dyDescent="0.25">
      <c r="A432">
        <v>25</v>
      </c>
      <c r="B432">
        <v>120</v>
      </c>
      <c r="C432">
        <v>100</v>
      </c>
      <c r="D432">
        <v>6.8</v>
      </c>
      <c r="E432">
        <v>98</v>
      </c>
      <c r="F432">
        <v>60</v>
      </c>
      <c r="G432" t="s">
        <v>8</v>
      </c>
      <c r="H432" s="1" t="str">
        <f t="shared" si="30"/>
        <v>20-30</v>
      </c>
      <c r="I432" s="1" t="str">
        <f t="shared" si="31"/>
        <v>Critical</v>
      </c>
      <c r="J432" s="1" t="str">
        <f t="shared" si="32"/>
        <v>Normal</v>
      </c>
      <c r="K432" s="1" t="str">
        <f t="shared" si="33"/>
        <v>Low</v>
      </c>
      <c r="L432" s="1" t="str">
        <f t="shared" si="34"/>
        <v>Normal</v>
      </c>
    </row>
    <row r="433" spans="1:12" x14ac:dyDescent="0.25">
      <c r="A433">
        <v>35</v>
      </c>
      <c r="B433">
        <v>100</v>
      </c>
      <c r="C433">
        <v>60</v>
      </c>
      <c r="D433">
        <v>15</v>
      </c>
      <c r="E433">
        <v>98</v>
      </c>
      <c r="F433">
        <v>80</v>
      </c>
      <c r="G433" t="s">
        <v>7</v>
      </c>
      <c r="H433" s="1" t="str">
        <f t="shared" si="30"/>
        <v>30-40</v>
      </c>
      <c r="I433" s="1" t="str">
        <f t="shared" si="31"/>
        <v>Normal</v>
      </c>
      <c r="J433" s="1" t="str">
        <f t="shared" si="32"/>
        <v>High</v>
      </c>
      <c r="K433" s="1" t="str">
        <f t="shared" si="33"/>
        <v>Normal</v>
      </c>
      <c r="L433" s="1" t="str">
        <f t="shared" si="34"/>
        <v>Normal</v>
      </c>
    </row>
    <row r="434" spans="1:12" x14ac:dyDescent="0.25">
      <c r="A434">
        <v>40</v>
      </c>
      <c r="B434">
        <v>140</v>
      </c>
      <c r="C434">
        <v>100</v>
      </c>
      <c r="D434">
        <v>13</v>
      </c>
      <c r="E434">
        <v>101</v>
      </c>
      <c r="F434">
        <v>66</v>
      </c>
      <c r="G434" t="s">
        <v>7</v>
      </c>
      <c r="H434" s="1" t="str">
        <f t="shared" si="30"/>
        <v>30-40</v>
      </c>
      <c r="I434" s="1" t="str">
        <f t="shared" si="31"/>
        <v>Critical</v>
      </c>
      <c r="J434" s="1" t="str">
        <f t="shared" si="32"/>
        <v>High</v>
      </c>
      <c r="K434" s="1" t="str">
        <f t="shared" si="33"/>
        <v>Low</v>
      </c>
      <c r="L434" s="1" t="str">
        <f t="shared" si="34"/>
        <v>High</v>
      </c>
    </row>
    <row r="435" spans="1:12" x14ac:dyDescent="0.25">
      <c r="A435">
        <v>27</v>
      </c>
      <c r="B435">
        <v>120</v>
      </c>
      <c r="C435">
        <v>70</v>
      </c>
      <c r="D435">
        <v>6.8</v>
      </c>
      <c r="E435">
        <v>98</v>
      </c>
      <c r="F435">
        <v>77</v>
      </c>
      <c r="G435" t="s">
        <v>8</v>
      </c>
      <c r="H435" s="1" t="str">
        <f t="shared" si="30"/>
        <v>20-30</v>
      </c>
      <c r="I435" s="1" t="str">
        <f t="shared" si="31"/>
        <v>Pre-High</v>
      </c>
      <c r="J435" s="1" t="str">
        <f t="shared" si="32"/>
        <v>Normal</v>
      </c>
      <c r="K435" s="1" t="str">
        <f t="shared" si="33"/>
        <v>Normal</v>
      </c>
      <c r="L435" s="1" t="str">
        <f t="shared" si="34"/>
        <v>Normal</v>
      </c>
    </row>
    <row r="436" spans="1:12" x14ac:dyDescent="0.25">
      <c r="A436">
        <v>27</v>
      </c>
      <c r="B436">
        <v>120</v>
      </c>
      <c r="C436">
        <v>70</v>
      </c>
      <c r="D436">
        <v>6.8</v>
      </c>
      <c r="E436">
        <v>98</v>
      </c>
      <c r="F436">
        <v>77</v>
      </c>
      <c r="G436" t="s">
        <v>8</v>
      </c>
      <c r="H436" s="1" t="str">
        <f t="shared" si="30"/>
        <v>20-30</v>
      </c>
      <c r="I436" s="1" t="str">
        <f t="shared" si="31"/>
        <v>Pre-High</v>
      </c>
      <c r="J436" s="1" t="str">
        <f t="shared" si="32"/>
        <v>Normal</v>
      </c>
      <c r="K436" s="1" t="str">
        <f t="shared" si="33"/>
        <v>Normal</v>
      </c>
      <c r="L436" s="1" t="str">
        <f t="shared" si="34"/>
        <v>Normal</v>
      </c>
    </row>
    <row r="437" spans="1:12" x14ac:dyDescent="0.25">
      <c r="A437">
        <v>65</v>
      </c>
      <c r="B437">
        <v>130</v>
      </c>
      <c r="C437">
        <v>80</v>
      </c>
      <c r="D437">
        <v>15</v>
      </c>
      <c r="E437">
        <v>98</v>
      </c>
      <c r="F437">
        <v>86</v>
      </c>
      <c r="G437" t="s">
        <v>7</v>
      </c>
      <c r="H437" s="1" t="str">
        <f t="shared" si="30"/>
        <v>50+</v>
      </c>
      <c r="I437" s="1" t="str">
        <f t="shared" si="31"/>
        <v>Pre-High</v>
      </c>
      <c r="J437" s="1" t="str">
        <f t="shared" si="32"/>
        <v>High</v>
      </c>
      <c r="K437" s="1" t="str">
        <f t="shared" si="33"/>
        <v>High</v>
      </c>
      <c r="L437" s="1" t="str">
        <f t="shared" si="34"/>
        <v>Normal</v>
      </c>
    </row>
    <row r="438" spans="1:12" x14ac:dyDescent="0.25">
      <c r="A438">
        <v>35</v>
      </c>
      <c r="B438">
        <v>140</v>
      </c>
      <c r="C438">
        <v>80</v>
      </c>
      <c r="D438">
        <v>13</v>
      </c>
      <c r="E438">
        <v>98</v>
      </c>
      <c r="F438">
        <v>70</v>
      </c>
      <c r="G438" t="s">
        <v>7</v>
      </c>
      <c r="H438" s="1" t="str">
        <f t="shared" si="30"/>
        <v>30-40</v>
      </c>
      <c r="I438" s="1" t="str">
        <f t="shared" si="31"/>
        <v>High</v>
      </c>
      <c r="J438" s="1" t="str">
        <f t="shared" si="32"/>
        <v>High</v>
      </c>
      <c r="K438" s="1" t="str">
        <f t="shared" si="33"/>
        <v>Normal</v>
      </c>
      <c r="L438" s="1" t="str">
        <f t="shared" si="34"/>
        <v>Normal</v>
      </c>
    </row>
    <row r="439" spans="1:12" x14ac:dyDescent="0.25">
      <c r="A439">
        <v>29</v>
      </c>
      <c r="B439">
        <v>90</v>
      </c>
      <c r="C439">
        <v>70</v>
      </c>
      <c r="D439">
        <v>10</v>
      </c>
      <c r="E439">
        <v>98</v>
      </c>
      <c r="F439">
        <v>80</v>
      </c>
      <c r="G439" t="s">
        <v>7</v>
      </c>
      <c r="H439" s="1" t="str">
        <f t="shared" si="30"/>
        <v>20-30</v>
      </c>
      <c r="I439" s="1" t="str">
        <f t="shared" si="31"/>
        <v>Normal</v>
      </c>
      <c r="J439" s="1" t="str">
        <f t="shared" si="32"/>
        <v>Slightly High</v>
      </c>
      <c r="K439" s="1" t="str">
        <f t="shared" si="33"/>
        <v>Normal</v>
      </c>
      <c r="L439" s="1" t="str">
        <f t="shared" si="34"/>
        <v>Normal</v>
      </c>
    </row>
    <row r="440" spans="1:12" x14ac:dyDescent="0.25">
      <c r="A440">
        <v>30</v>
      </c>
      <c r="B440">
        <v>120</v>
      </c>
      <c r="C440">
        <v>80</v>
      </c>
      <c r="D440">
        <v>6.8</v>
      </c>
      <c r="E440">
        <v>98</v>
      </c>
      <c r="F440">
        <v>70</v>
      </c>
      <c r="G440" t="s">
        <v>9</v>
      </c>
      <c r="H440" s="1" t="str">
        <f t="shared" si="30"/>
        <v>20-30</v>
      </c>
      <c r="I440" s="1" t="str">
        <f t="shared" si="31"/>
        <v>Pre-High</v>
      </c>
      <c r="J440" s="1" t="str">
        <f t="shared" si="32"/>
        <v>Normal</v>
      </c>
      <c r="K440" s="1" t="str">
        <f t="shared" si="33"/>
        <v>Normal</v>
      </c>
      <c r="L440" s="1" t="str">
        <f t="shared" si="34"/>
        <v>Normal</v>
      </c>
    </row>
    <row r="441" spans="1:12" x14ac:dyDescent="0.25">
      <c r="A441">
        <v>35</v>
      </c>
      <c r="B441">
        <v>120</v>
      </c>
      <c r="C441">
        <v>60</v>
      </c>
      <c r="D441">
        <v>6.1</v>
      </c>
      <c r="E441">
        <v>98</v>
      </c>
      <c r="F441">
        <v>76</v>
      </c>
      <c r="G441" t="s">
        <v>9</v>
      </c>
      <c r="H441" s="1" t="str">
        <f t="shared" si="30"/>
        <v>30-40</v>
      </c>
      <c r="I441" s="1" t="str">
        <f t="shared" si="31"/>
        <v>Pre-High</v>
      </c>
      <c r="J441" s="1" t="str">
        <f t="shared" si="32"/>
        <v>Normal</v>
      </c>
      <c r="K441" s="1" t="str">
        <f t="shared" si="33"/>
        <v>Normal</v>
      </c>
      <c r="L441" s="1" t="str">
        <f t="shared" si="34"/>
        <v>Normal</v>
      </c>
    </row>
    <row r="442" spans="1:12" x14ac:dyDescent="0.25">
      <c r="A442">
        <v>23</v>
      </c>
      <c r="B442">
        <v>140</v>
      </c>
      <c r="C442">
        <v>90</v>
      </c>
      <c r="D442">
        <v>6.8</v>
      </c>
      <c r="E442">
        <v>98</v>
      </c>
      <c r="F442">
        <v>70</v>
      </c>
      <c r="G442" t="s">
        <v>7</v>
      </c>
      <c r="H442" s="1" t="str">
        <f t="shared" si="30"/>
        <v>20-30</v>
      </c>
      <c r="I442" s="1" t="str">
        <f t="shared" si="31"/>
        <v>High</v>
      </c>
      <c r="J442" s="1" t="str">
        <f t="shared" si="32"/>
        <v>Normal</v>
      </c>
      <c r="K442" s="1" t="str">
        <f t="shared" si="33"/>
        <v>Normal</v>
      </c>
      <c r="L442" s="1" t="str">
        <f t="shared" si="34"/>
        <v>Normal</v>
      </c>
    </row>
    <row r="443" spans="1:12" x14ac:dyDescent="0.25">
      <c r="A443">
        <v>23</v>
      </c>
      <c r="B443">
        <v>130</v>
      </c>
      <c r="C443">
        <v>70</v>
      </c>
      <c r="D443">
        <v>6.8</v>
      </c>
      <c r="E443">
        <v>98</v>
      </c>
      <c r="F443">
        <v>78</v>
      </c>
      <c r="G443" t="s">
        <v>9</v>
      </c>
      <c r="H443" s="1" t="str">
        <f t="shared" si="30"/>
        <v>20-30</v>
      </c>
      <c r="I443" s="1" t="str">
        <f t="shared" si="31"/>
        <v>Pre-High</v>
      </c>
      <c r="J443" s="1" t="str">
        <f t="shared" si="32"/>
        <v>Normal</v>
      </c>
      <c r="K443" s="1" t="str">
        <f t="shared" si="33"/>
        <v>Normal</v>
      </c>
      <c r="L443" s="1" t="str">
        <f t="shared" si="34"/>
        <v>Normal</v>
      </c>
    </row>
    <row r="444" spans="1:12" x14ac:dyDescent="0.25">
      <c r="A444">
        <v>35</v>
      </c>
      <c r="B444">
        <v>85</v>
      </c>
      <c r="C444">
        <v>60</v>
      </c>
      <c r="D444">
        <v>11</v>
      </c>
      <c r="E444">
        <v>102</v>
      </c>
      <c r="F444">
        <v>86</v>
      </c>
      <c r="G444" t="s">
        <v>7</v>
      </c>
      <c r="H444" s="1" t="str">
        <f t="shared" si="30"/>
        <v>30-40</v>
      </c>
      <c r="I444" s="1" t="str">
        <f t="shared" si="31"/>
        <v>Normal</v>
      </c>
      <c r="J444" s="1" t="str">
        <f t="shared" si="32"/>
        <v>Slightly High</v>
      </c>
      <c r="K444" s="1" t="str">
        <f t="shared" si="33"/>
        <v>High</v>
      </c>
      <c r="L444" s="1" t="str">
        <f t="shared" si="34"/>
        <v>High</v>
      </c>
    </row>
    <row r="445" spans="1:12" x14ac:dyDescent="0.25">
      <c r="A445">
        <v>32</v>
      </c>
      <c r="B445">
        <v>120</v>
      </c>
      <c r="C445">
        <v>90</v>
      </c>
      <c r="D445">
        <v>6.8</v>
      </c>
      <c r="E445">
        <v>98</v>
      </c>
      <c r="F445">
        <v>70</v>
      </c>
      <c r="G445" t="s">
        <v>8</v>
      </c>
      <c r="H445" s="1" t="str">
        <f t="shared" si="30"/>
        <v>30-40</v>
      </c>
      <c r="I445" s="1" t="str">
        <f t="shared" si="31"/>
        <v>High</v>
      </c>
      <c r="J445" s="1" t="str">
        <f t="shared" si="32"/>
        <v>Normal</v>
      </c>
      <c r="K445" s="1" t="str">
        <f t="shared" si="33"/>
        <v>Normal</v>
      </c>
      <c r="L445" s="1" t="str">
        <f t="shared" si="34"/>
        <v>Normal</v>
      </c>
    </row>
    <row r="446" spans="1:12" x14ac:dyDescent="0.25">
      <c r="A446">
        <v>43</v>
      </c>
      <c r="B446">
        <v>130</v>
      </c>
      <c r="C446">
        <v>80</v>
      </c>
      <c r="D446">
        <v>18</v>
      </c>
      <c r="E446">
        <v>98</v>
      </c>
      <c r="F446">
        <v>70</v>
      </c>
      <c r="G446" t="s">
        <v>9</v>
      </c>
      <c r="H446" s="1" t="str">
        <f t="shared" si="30"/>
        <v>40-50</v>
      </c>
      <c r="I446" s="1" t="str">
        <f t="shared" si="31"/>
        <v>Pre-High</v>
      </c>
      <c r="J446" s="1" t="str">
        <f t="shared" si="32"/>
        <v>High</v>
      </c>
      <c r="K446" s="1" t="str">
        <f t="shared" si="33"/>
        <v>Normal</v>
      </c>
      <c r="L446" s="1" t="str">
        <f t="shared" si="34"/>
        <v>Normal</v>
      </c>
    </row>
    <row r="447" spans="1:12" x14ac:dyDescent="0.25">
      <c r="A447">
        <v>23</v>
      </c>
      <c r="B447">
        <v>99</v>
      </c>
      <c r="C447">
        <v>60</v>
      </c>
      <c r="D447">
        <v>6.8</v>
      </c>
      <c r="E447">
        <v>98</v>
      </c>
      <c r="F447">
        <v>76</v>
      </c>
      <c r="G447" t="s">
        <v>8</v>
      </c>
      <c r="H447" s="1" t="str">
        <f t="shared" si="30"/>
        <v>20-30</v>
      </c>
      <c r="I447" s="1" t="str">
        <f t="shared" si="31"/>
        <v>Normal</v>
      </c>
      <c r="J447" s="1" t="str">
        <f t="shared" si="32"/>
        <v>Normal</v>
      </c>
      <c r="K447" s="1" t="str">
        <f t="shared" si="33"/>
        <v>Normal</v>
      </c>
      <c r="L447" s="1" t="str">
        <f t="shared" si="34"/>
        <v>Normal</v>
      </c>
    </row>
    <row r="448" spans="1:12" x14ac:dyDescent="0.25">
      <c r="A448">
        <v>19</v>
      </c>
      <c r="B448">
        <v>120</v>
      </c>
      <c r="C448">
        <v>80</v>
      </c>
      <c r="D448">
        <v>7</v>
      </c>
      <c r="E448">
        <v>98</v>
      </c>
      <c r="F448">
        <v>70</v>
      </c>
      <c r="G448" t="s">
        <v>9</v>
      </c>
      <c r="H448" s="1" t="str">
        <f t="shared" si="30"/>
        <v>10-20</v>
      </c>
      <c r="I448" s="1" t="str">
        <f t="shared" si="31"/>
        <v>Pre-High</v>
      </c>
      <c r="J448" s="1" t="str">
        <f t="shared" si="32"/>
        <v>Normal</v>
      </c>
      <c r="K448" s="1" t="str">
        <f t="shared" si="33"/>
        <v>Normal</v>
      </c>
      <c r="L448" s="1" t="str">
        <f t="shared" si="34"/>
        <v>Normal</v>
      </c>
    </row>
    <row r="449" spans="1:12" x14ac:dyDescent="0.25">
      <c r="A449">
        <v>15</v>
      </c>
      <c r="B449">
        <v>76</v>
      </c>
      <c r="C449">
        <v>49</v>
      </c>
      <c r="D449">
        <v>6.8</v>
      </c>
      <c r="E449">
        <v>98</v>
      </c>
      <c r="F449">
        <v>77</v>
      </c>
      <c r="G449" t="s">
        <v>8</v>
      </c>
      <c r="H449" s="1" t="str">
        <f t="shared" si="30"/>
        <v>10-20</v>
      </c>
      <c r="I449" s="1" t="str">
        <f t="shared" si="31"/>
        <v>Low BP</v>
      </c>
      <c r="J449" s="1" t="str">
        <f t="shared" si="32"/>
        <v>Normal</v>
      </c>
      <c r="K449" s="1" t="str">
        <f t="shared" si="33"/>
        <v>Normal</v>
      </c>
      <c r="L449" s="1" t="str">
        <f t="shared" si="34"/>
        <v>Normal</v>
      </c>
    </row>
    <row r="450" spans="1:12" x14ac:dyDescent="0.25">
      <c r="A450">
        <v>30</v>
      </c>
      <c r="B450">
        <v>120</v>
      </c>
      <c r="C450">
        <v>75</v>
      </c>
      <c r="D450">
        <v>6.8</v>
      </c>
      <c r="E450">
        <v>98</v>
      </c>
      <c r="F450">
        <v>70</v>
      </c>
      <c r="G450" t="s">
        <v>9</v>
      </c>
      <c r="H450" s="1" t="str">
        <f t="shared" si="30"/>
        <v>20-30</v>
      </c>
      <c r="I450" s="1" t="str">
        <f t="shared" si="31"/>
        <v>Pre-High</v>
      </c>
      <c r="J450" s="1" t="str">
        <f t="shared" si="32"/>
        <v>Normal</v>
      </c>
      <c r="K450" s="1" t="str">
        <f t="shared" si="33"/>
        <v>Normal</v>
      </c>
      <c r="L450" s="1" t="str">
        <f t="shared" si="34"/>
        <v>Normal</v>
      </c>
    </row>
    <row r="451" spans="1:12" x14ac:dyDescent="0.25">
      <c r="A451">
        <v>48</v>
      </c>
      <c r="B451">
        <v>120</v>
      </c>
      <c r="C451">
        <v>80</v>
      </c>
      <c r="D451">
        <v>11</v>
      </c>
      <c r="E451">
        <v>98</v>
      </c>
      <c r="F451">
        <v>88</v>
      </c>
      <c r="G451" t="s">
        <v>7</v>
      </c>
      <c r="H451" s="1" t="str">
        <f t="shared" ref="H451:H514" si="35">IF(A451&lt;=20,"10-20",
 IF(A451&lt;=30,"20-30",
 IF(A451&lt;=40,"30-40",
 IF(A451&lt;=50,"40-50","50+"))))</f>
        <v>40-50</v>
      </c>
      <c r="I451" s="1" t="str">
        <f t="shared" ref="I451:I514" si="36">IF(AND(B451&lt;90,C451&lt;60),"Low BP",
 IF(AND(B451&lt;120,C451&lt;80),"Normal",
 IF(AND(B451&lt;140,C451&lt;90),"Pre-High",
 IF(AND(B451&lt;160,C451&lt;100),"High","Critical"))))</f>
        <v>Pre-High</v>
      </c>
      <c r="J451" s="1" t="str">
        <f t="shared" ref="J451:J514" si="37">IF(D451&lt;8,"Normal",
 IF(D451&lt;12,"Slightly High","High"))</f>
        <v>Slightly High</v>
      </c>
      <c r="K451" s="1" t="str">
        <f t="shared" ref="K451:K514" si="38">IF(F451&lt;70,"Low",
 IF(F451&lt;=85,"Normal","High"))</f>
        <v>High</v>
      </c>
      <c r="L451" s="1" t="str">
        <f t="shared" ref="L451:L514" si="39">IF(E451&lt;97.5,"Low",
 IF(E451&lt;=99,"Normal","High"))</f>
        <v>Normal</v>
      </c>
    </row>
    <row r="452" spans="1:12" x14ac:dyDescent="0.25">
      <c r="A452">
        <v>15</v>
      </c>
      <c r="B452">
        <v>120</v>
      </c>
      <c r="C452">
        <v>80</v>
      </c>
      <c r="D452">
        <v>6.8</v>
      </c>
      <c r="E452">
        <v>98</v>
      </c>
      <c r="F452">
        <v>70</v>
      </c>
      <c r="G452" t="s">
        <v>8</v>
      </c>
      <c r="H452" s="1" t="str">
        <f t="shared" si="35"/>
        <v>10-20</v>
      </c>
      <c r="I452" s="1" t="str">
        <f t="shared" si="36"/>
        <v>Pre-High</v>
      </c>
      <c r="J452" s="1" t="str">
        <f t="shared" si="37"/>
        <v>Normal</v>
      </c>
      <c r="K452" s="1" t="str">
        <f t="shared" si="38"/>
        <v>Normal</v>
      </c>
      <c r="L452" s="1" t="str">
        <f t="shared" si="39"/>
        <v>Normal</v>
      </c>
    </row>
    <row r="453" spans="1:12" x14ac:dyDescent="0.25">
      <c r="A453">
        <v>48</v>
      </c>
      <c r="B453">
        <v>140</v>
      </c>
      <c r="C453">
        <v>90</v>
      </c>
      <c r="D453">
        <v>15</v>
      </c>
      <c r="E453">
        <v>98</v>
      </c>
      <c r="F453">
        <v>90</v>
      </c>
      <c r="G453" t="s">
        <v>7</v>
      </c>
      <c r="H453" s="1" t="str">
        <f t="shared" si="35"/>
        <v>40-50</v>
      </c>
      <c r="I453" s="1" t="str">
        <f t="shared" si="36"/>
        <v>High</v>
      </c>
      <c r="J453" s="1" t="str">
        <f t="shared" si="37"/>
        <v>High</v>
      </c>
      <c r="K453" s="1" t="str">
        <f t="shared" si="38"/>
        <v>High</v>
      </c>
      <c r="L453" s="1" t="str">
        <f t="shared" si="39"/>
        <v>Normal</v>
      </c>
    </row>
    <row r="454" spans="1:12" x14ac:dyDescent="0.25">
      <c r="A454">
        <v>25</v>
      </c>
      <c r="B454">
        <v>140</v>
      </c>
      <c r="C454">
        <v>100</v>
      </c>
      <c r="D454">
        <v>6.8</v>
      </c>
      <c r="E454">
        <v>98</v>
      </c>
      <c r="F454">
        <v>80</v>
      </c>
      <c r="G454" t="s">
        <v>7</v>
      </c>
      <c r="H454" s="1" t="str">
        <f t="shared" si="35"/>
        <v>20-30</v>
      </c>
      <c r="I454" s="1" t="str">
        <f t="shared" si="36"/>
        <v>Critical</v>
      </c>
      <c r="J454" s="1" t="str">
        <f t="shared" si="37"/>
        <v>Normal</v>
      </c>
      <c r="K454" s="1" t="str">
        <f t="shared" si="38"/>
        <v>Normal</v>
      </c>
      <c r="L454" s="1" t="str">
        <f t="shared" si="39"/>
        <v>Normal</v>
      </c>
    </row>
    <row r="455" spans="1:12" x14ac:dyDescent="0.25">
      <c r="A455">
        <v>29</v>
      </c>
      <c r="B455">
        <v>100</v>
      </c>
      <c r="C455">
        <v>70</v>
      </c>
      <c r="D455">
        <v>6.8</v>
      </c>
      <c r="E455">
        <v>98</v>
      </c>
      <c r="F455">
        <v>80</v>
      </c>
      <c r="G455" t="s">
        <v>8</v>
      </c>
      <c r="H455" s="1" t="str">
        <f t="shared" si="35"/>
        <v>20-30</v>
      </c>
      <c r="I455" s="1" t="str">
        <f t="shared" si="36"/>
        <v>Normal</v>
      </c>
      <c r="J455" s="1" t="str">
        <f t="shared" si="37"/>
        <v>Normal</v>
      </c>
      <c r="K455" s="1" t="str">
        <f t="shared" si="38"/>
        <v>Normal</v>
      </c>
      <c r="L455" s="1" t="str">
        <f t="shared" si="39"/>
        <v>Normal</v>
      </c>
    </row>
    <row r="456" spans="1:12" x14ac:dyDescent="0.25">
      <c r="A456">
        <v>32</v>
      </c>
      <c r="B456">
        <v>120</v>
      </c>
      <c r="C456">
        <v>80</v>
      </c>
      <c r="D456">
        <v>6.8</v>
      </c>
      <c r="E456">
        <v>98</v>
      </c>
      <c r="F456">
        <v>70</v>
      </c>
      <c r="G456" t="s">
        <v>9</v>
      </c>
      <c r="H456" s="1" t="str">
        <f t="shared" si="35"/>
        <v>30-40</v>
      </c>
      <c r="I456" s="1" t="str">
        <f t="shared" si="36"/>
        <v>Pre-High</v>
      </c>
      <c r="J456" s="1" t="str">
        <f t="shared" si="37"/>
        <v>Normal</v>
      </c>
      <c r="K456" s="1" t="str">
        <f t="shared" si="38"/>
        <v>Normal</v>
      </c>
      <c r="L456" s="1" t="str">
        <f t="shared" si="39"/>
        <v>Normal</v>
      </c>
    </row>
    <row r="457" spans="1:12" x14ac:dyDescent="0.25">
      <c r="A457">
        <v>35</v>
      </c>
      <c r="B457">
        <v>120</v>
      </c>
      <c r="C457">
        <v>60</v>
      </c>
      <c r="D457">
        <v>6.1</v>
      </c>
      <c r="E457">
        <v>98</v>
      </c>
      <c r="F457">
        <v>76</v>
      </c>
      <c r="G457" t="s">
        <v>8</v>
      </c>
      <c r="H457" s="1" t="str">
        <f t="shared" si="35"/>
        <v>30-40</v>
      </c>
      <c r="I457" s="1" t="str">
        <f t="shared" si="36"/>
        <v>Pre-High</v>
      </c>
      <c r="J457" s="1" t="str">
        <f t="shared" si="37"/>
        <v>Normal</v>
      </c>
      <c r="K457" s="1" t="str">
        <f t="shared" si="38"/>
        <v>Normal</v>
      </c>
      <c r="L457" s="1" t="str">
        <f t="shared" si="39"/>
        <v>Normal</v>
      </c>
    </row>
    <row r="458" spans="1:12" x14ac:dyDescent="0.25">
      <c r="A458">
        <v>23</v>
      </c>
      <c r="B458">
        <v>140</v>
      </c>
      <c r="C458">
        <v>90</v>
      </c>
      <c r="D458">
        <v>6.8</v>
      </c>
      <c r="E458">
        <v>98</v>
      </c>
      <c r="F458">
        <v>70</v>
      </c>
      <c r="G458" t="s">
        <v>7</v>
      </c>
      <c r="H458" s="1" t="str">
        <f t="shared" si="35"/>
        <v>20-30</v>
      </c>
      <c r="I458" s="1" t="str">
        <f t="shared" si="36"/>
        <v>High</v>
      </c>
      <c r="J458" s="1" t="str">
        <f t="shared" si="37"/>
        <v>Normal</v>
      </c>
      <c r="K458" s="1" t="str">
        <f t="shared" si="38"/>
        <v>Normal</v>
      </c>
      <c r="L458" s="1" t="str">
        <f t="shared" si="39"/>
        <v>Normal</v>
      </c>
    </row>
    <row r="459" spans="1:12" x14ac:dyDescent="0.25">
      <c r="A459">
        <v>23</v>
      </c>
      <c r="B459">
        <v>130</v>
      </c>
      <c r="C459">
        <v>70</v>
      </c>
      <c r="D459">
        <v>6.8</v>
      </c>
      <c r="E459">
        <v>98</v>
      </c>
      <c r="F459">
        <v>78</v>
      </c>
      <c r="G459" t="s">
        <v>9</v>
      </c>
      <c r="H459" s="1" t="str">
        <f t="shared" si="35"/>
        <v>20-30</v>
      </c>
      <c r="I459" s="1" t="str">
        <f t="shared" si="36"/>
        <v>Pre-High</v>
      </c>
      <c r="J459" s="1" t="str">
        <f t="shared" si="37"/>
        <v>Normal</v>
      </c>
      <c r="K459" s="1" t="str">
        <f t="shared" si="38"/>
        <v>Normal</v>
      </c>
      <c r="L459" s="1" t="str">
        <f t="shared" si="39"/>
        <v>Normal</v>
      </c>
    </row>
    <row r="460" spans="1:12" x14ac:dyDescent="0.25">
      <c r="A460">
        <v>34</v>
      </c>
      <c r="B460">
        <v>85</v>
      </c>
      <c r="C460">
        <v>60</v>
      </c>
      <c r="D460">
        <v>11</v>
      </c>
      <c r="E460">
        <v>102</v>
      </c>
      <c r="F460">
        <v>86</v>
      </c>
      <c r="G460" t="s">
        <v>7</v>
      </c>
      <c r="H460" s="1" t="str">
        <f t="shared" si="35"/>
        <v>30-40</v>
      </c>
      <c r="I460" s="1" t="str">
        <f t="shared" si="36"/>
        <v>Normal</v>
      </c>
      <c r="J460" s="1" t="str">
        <f t="shared" si="37"/>
        <v>Slightly High</v>
      </c>
      <c r="K460" s="1" t="str">
        <f t="shared" si="38"/>
        <v>High</v>
      </c>
      <c r="L460" s="1" t="str">
        <f t="shared" si="39"/>
        <v>High</v>
      </c>
    </row>
    <row r="461" spans="1:12" x14ac:dyDescent="0.25">
      <c r="A461">
        <v>32</v>
      </c>
      <c r="B461">
        <v>120</v>
      </c>
      <c r="C461">
        <v>90</v>
      </c>
      <c r="D461">
        <v>6.8</v>
      </c>
      <c r="E461">
        <v>98</v>
      </c>
      <c r="F461">
        <v>70</v>
      </c>
      <c r="G461" t="s">
        <v>8</v>
      </c>
      <c r="H461" s="1" t="str">
        <f t="shared" si="35"/>
        <v>30-40</v>
      </c>
      <c r="I461" s="1" t="str">
        <f t="shared" si="36"/>
        <v>High</v>
      </c>
      <c r="J461" s="1" t="str">
        <f t="shared" si="37"/>
        <v>Normal</v>
      </c>
      <c r="K461" s="1" t="str">
        <f t="shared" si="38"/>
        <v>Normal</v>
      </c>
      <c r="L461" s="1" t="str">
        <f t="shared" si="39"/>
        <v>Normal</v>
      </c>
    </row>
    <row r="462" spans="1:12" x14ac:dyDescent="0.25">
      <c r="A462">
        <v>42</v>
      </c>
      <c r="B462">
        <v>130</v>
      </c>
      <c r="C462">
        <v>80</v>
      </c>
      <c r="D462">
        <v>18</v>
      </c>
      <c r="E462">
        <v>98</v>
      </c>
      <c r="F462">
        <v>70</v>
      </c>
      <c r="G462" t="s">
        <v>9</v>
      </c>
      <c r="H462" s="1" t="str">
        <f t="shared" si="35"/>
        <v>40-50</v>
      </c>
      <c r="I462" s="1" t="str">
        <f t="shared" si="36"/>
        <v>Pre-High</v>
      </c>
      <c r="J462" s="1" t="str">
        <f t="shared" si="37"/>
        <v>High</v>
      </c>
      <c r="K462" s="1" t="str">
        <f t="shared" si="38"/>
        <v>Normal</v>
      </c>
      <c r="L462" s="1" t="str">
        <f t="shared" si="39"/>
        <v>Normal</v>
      </c>
    </row>
    <row r="463" spans="1:12" x14ac:dyDescent="0.25">
      <c r="A463">
        <v>23</v>
      </c>
      <c r="B463">
        <v>90</v>
      </c>
      <c r="C463">
        <v>60</v>
      </c>
      <c r="D463">
        <v>6.8</v>
      </c>
      <c r="E463">
        <v>98</v>
      </c>
      <c r="F463">
        <v>76</v>
      </c>
      <c r="G463" t="s">
        <v>8</v>
      </c>
      <c r="H463" s="1" t="str">
        <f t="shared" si="35"/>
        <v>20-30</v>
      </c>
      <c r="I463" s="1" t="str">
        <f t="shared" si="36"/>
        <v>Normal</v>
      </c>
      <c r="J463" s="1" t="str">
        <f t="shared" si="37"/>
        <v>Normal</v>
      </c>
      <c r="K463" s="1" t="str">
        <f t="shared" si="38"/>
        <v>Normal</v>
      </c>
      <c r="L463" s="1" t="str">
        <f t="shared" si="39"/>
        <v>Normal</v>
      </c>
    </row>
    <row r="464" spans="1:12" x14ac:dyDescent="0.25">
      <c r="A464">
        <v>19</v>
      </c>
      <c r="B464">
        <v>120</v>
      </c>
      <c r="C464">
        <v>80</v>
      </c>
      <c r="D464">
        <v>7</v>
      </c>
      <c r="E464">
        <v>98</v>
      </c>
      <c r="F464">
        <v>70</v>
      </c>
      <c r="G464" t="s">
        <v>9</v>
      </c>
      <c r="H464" s="1" t="str">
        <f t="shared" si="35"/>
        <v>10-20</v>
      </c>
      <c r="I464" s="1" t="str">
        <f t="shared" si="36"/>
        <v>Pre-High</v>
      </c>
      <c r="J464" s="1" t="str">
        <f t="shared" si="37"/>
        <v>Normal</v>
      </c>
      <c r="K464" s="1" t="str">
        <f t="shared" si="38"/>
        <v>Normal</v>
      </c>
      <c r="L464" s="1" t="str">
        <f t="shared" si="39"/>
        <v>Normal</v>
      </c>
    </row>
    <row r="465" spans="1:12" x14ac:dyDescent="0.25">
      <c r="A465">
        <v>15</v>
      </c>
      <c r="B465">
        <v>76</v>
      </c>
      <c r="C465">
        <v>49</v>
      </c>
      <c r="D465">
        <v>6.8</v>
      </c>
      <c r="E465">
        <v>98</v>
      </c>
      <c r="F465">
        <v>77</v>
      </c>
      <c r="G465" t="s">
        <v>8</v>
      </c>
      <c r="H465" s="1" t="str">
        <f t="shared" si="35"/>
        <v>10-20</v>
      </c>
      <c r="I465" s="1" t="str">
        <f t="shared" si="36"/>
        <v>Low BP</v>
      </c>
      <c r="J465" s="1" t="str">
        <f t="shared" si="37"/>
        <v>Normal</v>
      </c>
      <c r="K465" s="1" t="str">
        <f t="shared" si="38"/>
        <v>Normal</v>
      </c>
      <c r="L465" s="1" t="str">
        <f t="shared" si="39"/>
        <v>Normal</v>
      </c>
    </row>
    <row r="466" spans="1:12" x14ac:dyDescent="0.25">
      <c r="A466">
        <v>20</v>
      </c>
      <c r="B466">
        <v>120</v>
      </c>
      <c r="C466">
        <v>75</v>
      </c>
      <c r="D466">
        <v>6.8</v>
      </c>
      <c r="E466">
        <v>98</v>
      </c>
      <c r="F466">
        <v>70</v>
      </c>
      <c r="G466" t="s">
        <v>8</v>
      </c>
      <c r="H466" s="1" t="str">
        <f t="shared" si="35"/>
        <v>10-20</v>
      </c>
      <c r="I466" s="1" t="str">
        <f t="shared" si="36"/>
        <v>Pre-High</v>
      </c>
      <c r="J466" s="1" t="str">
        <f t="shared" si="37"/>
        <v>Normal</v>
      </c>
      <c r="K466" s="1" t="str">
        <f t="shared" si="38"/>
        <v>Normal</v>
      </c>
      <c r="L466" s="1" t="str">
        <f t="shared" si="39"/>
        <v>Normal</v>
      </c>
    </row>
    <row r="467" spans="1:12" x14ac:dyDescent="0.25">
      <c r="A467">
        <v>48</v>
      </c>
      <c r="B467">
        <v>120</v>
      </c>
      <c r="C467">
        <v>80</v>
      </c>
      <c r="D467">
        <v>11</v>
      </c>
      <c r="E467">
        <v>98</v>
      </c>
      <c r="F467">
        <v>88</v>
      </c>
      <c r="G467" t="s">
        <v>8</v>
      </c>
      <c r="H467" s="1" t="str">
        <f t="shared" si="35"/>
        <v>40-50</v>
      </c>
      <c r="I467" s="1" t="str">
        <f t="shared" si="36"/>
        <v>Pre-High</v>
      </c>
      <c r="J467" s="1" t="str">
        <f t="shared" si="37"/>
        <v>Slightly High</v>
      </c>
      <c r="K467" s="1" t="str">
        <f t="shared" si="38"/>
        <v>High</v>
      </c>
      <c r="L467" s="1" t="str">
        <f t="shared" si="39"/>
        <v>Normal</v>
      </c>
    </row>
    <row r="468" spans="1:12" x14ac:dyDescent="0.25">
      <c r="A468">
        <v>15</v>
      </c>
      <c r="B468">
        <v>120</v>
      </c>
      <c r="C468">
        <v>80</v>
      </c>
      <c r="D468">
        <v>6.8</v>
      </c>
      <c r="E468">
        <v>98</v>
      </c>
      <c r="F468">
        <v>70</v>
      </c>
      <c r="G468" t="s">
        <v>8</v>
      </c>
      <c r="H468" s="1" t="str">
        <f t="shared" si="35"/>
        <v>10-20</v>
      </c>
      <c r="I468" s="1" t="str">
        <f t="shared" si="36"/>
        <v>Pre-High</v>
      </c>
      <c r="J468" s="1" t="str">
        <f t="shared" si="37"/>
        <v>Normal</v>
      </c>
      <c r="K468" s="1" t="str">
        <f t="shared" si="38"/>
        <v>Normal</v>
      </c>
      <c r="L468" s="1" t="str">
        <f t="shared" si="39"/>
        <v>Normal</v>
      </c>
    </row>
    <row r="469" spans="1:12" x14ac:dyDescent="0.25">
      <c r="A469">
        <v>50</v>
      </c>
      <c r="B469">
        <v>140</v>
      </c>
      <c r="C469">
        <v>90</v>
      </c>
      <c r="D469">
        <v>15</v>
      </c>
      <c r="E469">
        <v>98</v>
      </c>
      <c r="F469">
        <v>90</v>
      </c>
      <c r="G469" t="s">
        <v>7</v>
      </c>
      <c r="H469" s="1" t="str">
        <f t="shared" si="35"/>
        <v>40-50</v>
      </c>
      <c r="I469" s="1" t="str">
        <f t="shared" si="36"/>
        <v>High</v>
      </c>
      <c r="J469" s="1" t="str">
        <f t="shared" si="37"/>
        <v>High</v>
      </c>
      <c r="K469" s="1" t="str">
        <f t="shared" si="38"/>
        <v>High</v>
      </c>
      <c r="L469" s="1" t="str">
        <f t="shared" si="39"/>
        <v>Normal</v>
      </c>
    </row>
    <row r="470" spans="1:12" x14ac:dyDescent="0.25">
      <c r="A470">
        <v>25</v>
      </c>
      <c r="B470">
        <v>140</v>
      </c>
      <c r="C470">
        <v>100</v>
      </c>
      <c r="D470">
        <v>6.8</v>
      </c>
      <c r="E470">
        <v>98</v>
      </c>
      <c r="F470">
        <v>80</v>
      </c>
      <c r="G470" t="s">
        <v>7</v>
      </c>
      <c r="H470" s="1" t="str">
        <f t="shared" si="35"/>
        <v>20-30</v>
      </c>
      <c r="I470" s="1" t="str">
        <f t="shared" si="36"/>
        <v>Critical</v>
      </c>
      <c r="J470" s="1" t="str">
        <f t="shared" si="37"/>
        <v>Normal</v>
      </c>
      <c r="K470" s="1" t="str">
        <f t="shared" si="38"/>
        <v>Normal</v>
      </c>
      <c r="L470" s="1" t="str">
        <f t="shared" si="39"/>
        <v>Normal</v>
      </c>
    </row>
    <row r="471" spans="1:12" x14ac:dyDescent="0.25">
      <c r="A471">
        <v>30</v>
      </c>
      <c r="B471">
        <v>120</v>
      </c>
      <c r="C471">
        <v>80</v>
      </c>
      <c r="D471">
        <v>6.8</v>
      </c>
      <c r="E471">
        <v>101</v>
      </c>
      <c r="F471">
        <v>76</v>
      </c>
      <c r="G471" t="s">
        <v>8</v>
      </c>
      <c r="H471" s="1" t="str">
        <f t="shared" si="35"/>
        <v>20-30</v>
      </c>
      <c r="I471" s="1" t="str">
        <f t="shared" si="36"/>
        <v>Pre-High</v>
      </c>
      <c r="J471" s="1" t="str">
        <f t="shared" si="37"/>
        <v>Normal</v>
      </c>
      <c r="K471" s="1" t="str">
        <f t="shared" si="38"/>
        <v>Normal</v>
      </c>
      <c r="L471" s="1" t="str">
        <f t="shared" si="39"/>
        <v>High</v>
      </c>
    </row>
    <row r="472" spans="1:12" x14ac:dyDescent="0.25">
      <c r="A472">
        <v>31</v>
      </c>
      <c r="B472">
        <v>110</v>
      </c>
      <c r="C472">
        <v>90</v>
      </c>
      <c r="D472">
        <v>6.8</v>
      </c>
      <c r="E472">
        <v>100</v>
      </c>
      <c r="F472">
        <v>70</v>
      </c>
      <c r="G472" t="s">
        <v>9</v>
      </c>
      <c r="H472" s="1" t="str">
        <f t="shared" si="35"/>
        <v>30-40</v>
      </c>
      <c r="I472" s="1" t="str">
        <f t="shared" si="36"/>
        <v>High</v>
      </c>
      <c r="J472" s="1" t="str">
        <f t="shared" si="37"/>
        <v>Normal</v>
      </c>
      <c r="K472" s="1" t="str">
        <f t="shared" si="38"/>
        <v>Normal</v>
      </c>
      <c r="L472" s="1" t="str">
        <f t="shared" si="39"/>
        <v>High</v>
      </c>
    </row>
    <row r="473" spans="1:12" x14ac:dyDescent="0.25">
      <c r="A473">
        <v>42</v>
      </c>
      <c r="B473">
        <v>140</v>
      </c>
      <c r="C473">
        <v>100</v>
      </c>
      <c r="D473">
        <v>18</v>
      </c>
      <c r="E473">
        <v>98</v>
      </c>
      <c r="F473">
        <v>90</v>
      </c>
      <c r="G473" t="s">
        <v>7</v>
      </c>
      <c r="H473" s="1" t="str">
        <f t="shared" si="35"/>
        <v>40-50</v>
      </c>
      <c r="I473" s="1" t="str">
        <f t="shared" si="36"/>
        <v>Critical</v>
      </c>
      <c r="J473" s="1" t="str">
        <f t="shared" si="37"/>
        <v>High</v>
      </c>
      <c r="K473" s="1" t="str">
        <f t="shared" si="38"/>
        <v>High</v>
      </c>
      <c r="L473" s="1" t="str">
        <f t="shared" si="39"/>
        <v>Normal</v>
      </c>
    </row>
    <row r="474" spans="1:12" x14ac:dyDescent="0.25">
      <c r="A474">
        <v>18</v>
      </c>
      <c r="B474">
        <v>120</v>
      </c>
      <c r="C474">
        <v>80</v>
      </c>
      <c r="D474">
        <v>6.8</v>
      </c>
      <c r="E474">
        <v>102</v>
      </c>
      <c r="F474">
        <v>76</v>
      </c>
      <c r="G474" t="s">
        <v>8</v>
      </c>
      <c r="H474" s="1" t="str">
        <f t="shared" si="35"/>
        <v>10-20</v>
      </c>
      <c r="I474" s="1" t="str">
        <f t="shared" si="36"/>
        <v>Pre-High</v>
      </c>
      <c r="J474" s="1" t="str">
        <f t="shared" si="37"/>
        <v>Normal</v>
      </c>
      <c r="K474" s="1" t="str">
        <f t="shared" si="38"/>
        <v>Normal</v>
      </c>
      <c r="L474" s="1" t="str">
        <f t="shared" si="39"/>
        <v>High</v>
      </c>
    </row>
    <row r="475" spans="1:12" x14ac:dyDescent="0.25">
      <c r="A475">
        <v>32</v>
      </c>
      <c r="B475">
        <v>140</v>
      </c>
      <c r="C475">
        <v>100</v>
      </c>
      <c r="D475">
        <v>7.9</v>
      </c>
      <c r="E475">
        <v>98</v>
      </c>
      <c r="F475">
        <v>78</v>
      </c>
      <c r="G475" t="s">
        <v>7</v>
      </c>
      <c r="H475" s="1" t="str">
        <f t="shared" si="35"/>
        <v>30-40</v>
      </c>
      <c r="I475" s="1" t="str">
        <f t="shared" si="36"/>
        <v>Critical</v>
      </c>
      <c r="J475" s="1" t="str">
        <f t="shared" si="37"/>
        <v>Normal</v>
      </c>
      <c r="K475" s="1" t="str">
        <f t="shared" si="38"/>
        <v>Normal</v>
      </c>
      <c r="L475" s="1" t="str">
        <f t="shared" si="39"/>
        <v>Normal</v>
      </c>
    </row>
    <row r="476" spans="1:12" x14ac:dyDescent="0.25">
      <c r="A476">
        <v>17</v>
      </c>
      <c r="B476">
        <v>90</v>
      </c>
      <c r="C476">
        <v>60</v>
      </c>
      <c r="D476">
        <v>7.9</v>
      </c>
      <c r="E476">
        <v>101</v>
      </c>
      <c r="F476">
        <v>76</v>
      </c>
      <c r="G476" t="s">
        <v>8</v>
      </c>
      <c r="H476" s="1" t="str">
        <f t="shared" si="35"/>
        <v>10-20</v>
      </c>
      <c r="I476" s="1" t="str">
        <f t="shared" si="36"/>
        <v>Normal</v>
      </c>
      <c r="J476" s="1" t="str">
        <f t="shared" si="37"/>
        <v>Normal</v>
      </c>
      <c r="K476" s="1" t="str">
        <f t="shared" si="38"/>
        <v>Normal</v>
      </c>
      <c r="L476" s="1" t="str">
        <f t="shared" si="39"/>
        <v>High</v>
      </c>
    </row>
    <row r="477" spans="1:12" x14ac:dyDescent="0.25">
      <c r="A477">
        <v>19</v>
      </c>
      <c r="B477">
        <v>120</v>
      </c>
      <c r="C477">
        <v>80</v>
      </c>
      <c r="D477">
        <v>7</v>
      </c>
      <c r="E477">
        <v>98</v>
      </c>
      <c r="F477">
        <v>70</v>
      </c>
      <c r="G477" t="s">
        <v>9</v>
      </c>
      <c r="H477" s="1" t="str">
        <f t="shared" si="35"/>
        <v>10-20</v>
      </c>
      <c r="I477" s="1" t="str">
        <f t="shared" si="36"/>
        <v>Pre-High</v>
      </c>
      <c r="J477" s="1" t="str">
        <f t="shared" si="37"/>
        <v>Normal</v>
      </c>
      <c r="K477" s="1" t="str">
        <f t="shared" si="38"/>
        <v>Normal</v>
      </c>
      <c r="L477" s="1" t="str">
        <f t="shared" si="39"/>
        <v>Normal</v>
      </c>
    </row>
    <row r="478" spans="1:12" x14ac:dyDescent="0.25">
      <c r="A478">
        <v>15</v>
      </c>
      <c r="B478">
        <v>76</v>
      </c>
      <c r="C478">
        <v>49</v>
      </c>
      <c r="D478">
        <v>7.9</v>
      </c>
      <c r="E478">
        <v>98</v>
      </c>
      <c r="F478">
        <v>77</v>
      </c>
      <c r="G478" t="s">
        <v>8</v>
      </c>
      <c r="H478" s="1" t="str">
        <f t="shared" si="35"/>
        <v>10-20</v>
      </c>
      <c r="I478" s="1" t="str">
        <f t="shared" si="36"/>
        <v>Low BP</v>
      </c>
      <c r="J478" s="1" t="str">
        <f t="shared" si="37"/>
        <v>Normal</v>
      </c>
      <c r="K478" s="1" t="str">
        <f t="shared" si="38"/>
        <v>Normal</v>
      </c>
      <c r="L478" s="1" t="str">
        <f t="shared" si="39"/>
        <v>Normal</v>
      </c>
    </row>
    <row r="479" spans="1:12" x14ac:dyDescent="0.25">
      <c r="A479">
        <v>19</v>
      </c>
      <c r="B479">
        <v>120</v>
      </c>
      <c r="C479">
        <v>75</v>
      </c>
      <c r="D479">
        <v>7.9</v>
      </c>
      <c r="E479">
        <v>98</v>
      </c>
      <c r="F479">
        <v>70</v>
      </c>
      <c r="G479" t="s">
        <v>8</v>
      </c>
      <c r="H479" s="1" t="str">
        <f t="shared" si="35"/>
        <v>10-20</v>
      </c>
      <c r="I479" s="1" t="str">
        <f t="shared" si="36"/>
        <v>Pre-High</v>
      </c>
      <c r="J479" s="1" t="str">
        <f t="shared" si="37"/>
        <v>Normal</v>
      </c>
      <c r="K479" s="1" t="str">
        <f t="shared" si="38"/>
        <v>Normal</v>
      </c>
      <c r="L479" s="1" t="str">
        <f t="shared" si="39"/>
        <v>Normal</v>
      </c>
    </row>
    <row r="480" spans="1:12" x14ac:dyDescent="0.25">
      <c r="A480">
        <v>48</v>
      </c>
      <c r="B480">
        <v>120</v>
      </c>
      <c r="C480">
        <v>80</v>
      </c>
      <c r="D480">
        <v>11</v>
      </c>
      <c r="E480">
        <v>98</v>
      </c>
      <c r="F480">
        <v>88</v>
      </c>
      <c r="G480" t="s">
        <v>8</v>
      </c>
      <c r="H480" s="1" t="str">
        <f t="shared" si="35"/>
        <v>40-50</v>
      </c>
      <c r="I480" s="1" t="str">
        <f t="shared" si="36"/>
        <v>Pre-High</v>
      </c>
      <c r="J480" s="1" t="str">
        <f t="shared" si="37"/>
        <v>Slightly High</v>
      </c>
      <c r="K480" s="1" t="str">
        <f t="shared" si="38"/>
        <v>High</v>
      </c>
      <c r="L480" s="1" t="str">
        <f t="shared" si="39"/>
        <v>Normal</v>
      </c>
    </row>
    <row r="481" spans="1:12" x14ac:dyDescent="0.25">
      <c r="A481">
        <v>15</v>
      </c>
      <c r="B481">
        <v>120</v>
      </c>
      <c r="C481">
        <v>80</v>
      </c>
      <c r="D481">
        <v>7.9</v>
      </c>
      <c r="E481">
        <v>98</v>
      </c>
      <c r="F481">
        <v>70</v>
      </c>
      <c r="G481" t="s">
        <v>8</v>
      </c>
      <c r="H481" s="1" t="str">
        <f t="shared" si="35"/>
        <v>10-20</v>
      </c>
      <c r="I481" s="1" t="str">
        <f t="shared" si="36"/>
        <v>Pre-High</v>
      </c>
      <c r="J481" s="1" t="str">
        <f t="shared" si="37"/>
        <v>Normal</v>
      </c>
      <c r="K481" s="1" t="str">
        <f t="shared" si="38"/>
        <v>Normal</v>
      </c>
      <c r="L481" s="1" t="str">
        <f t="shared" si="39"/>
        <v>Normal</v>
      </c>
    </row>
    <row r="482" spans="1:12" x14ac:dyDescent="0.25">
      <c r="A482">
        <v>25</v>
      </c>
      <c r="B482">
        <v>120</v>
      </c>
      <c r="C482">
        <v>80</v>
      </c>
      <c r="D482">
        <v>7.9</v>
      </c>
      <c r="E482">
        <v>98</v>
      </c>
      <c r="F482">
        <v>66</v>
      </c>
      <c r="G482" t="s">
        <v>9</v>
      </c>
      <c r="H482" s="1" t="str">
        <f t="shared" si="35"/>
        <v>20-30</v>
      </c>
      <c r="I482" s="1" t="str">
        <f t="shared" si="36"/>
        <v>Pre-High</v>
      </c>
      <c r="J482" s="1" t="str">
        <f t="shared" si="37"/>
        <v>Normal</v>
      </c>
      <c r="K482" s="1" t="str">
        <f t="shared" si="38"/>
        <v>Low</v>
      </c>
      <c r="L482" s="1" t="str">
        <f t="shared" si="39"/>
        <v>Normal</v>
      </c>
    </row>
    <row r="483" spans="1:12" x14ac:dyDescent="0.25">
      <c r="A483">
        <v>22</v>
      </c>
      <c r="B483">
        <v>100</v>
      </c>
      <c r="C483">
        <v>65</v>
      </c>
      <c r="D483">
        <v>7.9</v>
      </c>
      <c r="E483">
        <v>98</v>
      </c>
      <c r="F483">
        <v>80</v>
      </c>
      <c r="G483" t="s">
        <v>8</v>
      </c>
      <c r="H483" s="1" t="str">
        <f t="shared" si="35"/>
        <v>20-30</v>
      </c>
      <c r="I483" s="1" t="str">
        <f t="shared" si="36"/>
        <v>Normal</v>
      </c>
      <c r="J483" s="1" t="str">
        <f t="shared" si="37"/>
        <v>Normal</v>
      </c>
      <c r="K483" s="1" t="str">
        <f t="shared" si="38"/>
        <v>Normal</v>
      </c>
      <c r="L483" s="1" t="str">
        <f t="shared" si="39"/>
        <v>Normal</v>
      </c>
    </row>
    <row r="484" spans="1:12" x14ac:dyDescent="0.25">
      <c r="A484">
        <v>50</v>
      </c>
      <c r="B484">
        <v>140</v>
      </c>
      <c r="C484">
        <v>95</v>
      </c>
      <c r="D484">
        <v>17</v>
      </c>
      <c r="E484">
        <v>98</v>
      </c>
      <c r="F484">
        <v>60</v>
      </c>
      <c r="G484" t="s">
        <v>7</v>
      </c>
      <c r="H484" s="1" t="str">
        <f t="shared" si="35"/>
        <v>40-50</v>
      </c>
      <c r="I484" s="1" t="str">
        <f t="shared" si="36"/>
        <v>High</v>
      </c>
      <c r="J484" s="1" t="str">
        <f t="shared" si="37"/>
        <v>High</v>
      </c>
      <c r="K484" s="1" t="str">
        <f t="shared" si="38"/>
        <v>Low</v>
      </c>
      <c r="L484" s="1" t="str">
        <f t="shared" si="39"/>
        <v>Normal</v>
      </c>
    </row>
    <row r="485" spans="1:12" x14ac:dyDescent="0.25">
      <c r="A485">
        <v>35</v>
      </c>
      <c r="B485">
        <v>100</v>
      </c>
      <c r="C485">
        <v>70</v>
      </c>
      <c r="D485">
        <v>7.9</v>
      </c>
      <c r="E485">
        <v>98</v>
      </c>
      <c r="F485">
        <v>60</v>
      </c>
      <c r="G485" t="s">
        <v>8</v>
      </c>
      <c r="H485" s="1" t="str">
        <f t="shared" si="35"/>
        <v>30-40</v>
      </c>
      <c r="I485" s="1" t="str">
        <f t="shared" si="36"/>
        <v>Normal</v>
      </c>
      <c r="J485" s="1" t="str">
        <f t="shared" si="37"/>
        <v>Normal</v>
      </c>
      <c r="K485" s="1" t="str">
        <f t="shared" si="38"/>
        <v>Low</v>
      </c>
      <c r="L485" s="1" t="str">
        <f t="shared" si="39"/>
        <v>Normal</v>
      </c>
    </row>
    <row r="486" spans="1:12" x14ac:dyDescent="0.25">
      <c r="A486">
        <v>19</v>
      </c>
      <c r="B486">
        <v>120</v>
      </c>
      <c r="C486">
        <v>85</v>
      </c>
      <c r="D486">
        <v>7.9</v>
      </c>
      <c r="E486">
        <v>98</v>
      </c>
      <c r="F486">
        <v>60</v>
      </c>
      <c r="G486" t="s">
        <v>8</v>
      </c>
      <c r="H486" s="1" t="str">
        <f t="shared" si="35"/>
        <v>10-20</v>
      </c>
      <c r="I486" s="1" t="str">
        <f t="shared" si="36"/>
        <v>Pre-High</v>
      </c>
      <c r="J486" s="1" t="str">
        <f t="shared" si="37"/>
        <v>Normal</v>
      </c>
      <c r="K486" s="1" t="str">
        <f t="shared" si="38"/>
        <v>Low</v>
      </c>
      <c r="L486" s="1" t="str">
        <f t="shared" si="39"/>
        <v>Normal</v>
      </c>
    </row>
    <row r="487" spans="1:12" x14ac:dyDescent="0.25">
      <c r="A487">
        <v>60</v>
      </c>
      <c r="B487">
        <v>90</v>
      </c>
      <c r="C487">
        <v>65</v>
      </c>
      <c r="D487">
        <v>7.9</v>
      </c>
      <c r="E487">
        <v>98</v>
      </c>
      <c r="F487">
        <v>77</v>
      </c>
      <c r="G487" t="s">
        <v>8</v>
      </c>
      <c r="H487" s="1" t="str">
        <f t="shared" si="35"/>
        <v>50+</v>
      </c>
      <c r="I487" s="1" t="str">
        <f t="shared" si="36"/>
        <v>Normal</v>
      </c>
      <c r="J487" s="1" t="str">
        <f t="shared" si="37"/>
        <v>Normal</v>
      </c>
      <c r="K487" s="1" t="str">
        <f t="shared" si="38"/>
        <v>Normal</v>
      </c>
      <c r="L487" s="1" t="str">
        <f t="shared" si="39"/>
        <v>Normal</v>
      </c>
    </row>
    <row r="488" spans="1:12" x14ac:dyDescent="0.25">
      <c r="A488">
        <v>38</v>
      </c>
      <c r="B488">
        <v>135</v>
      </c>
      <c r="C488">
        <v>60</v>
      </c>
      <c r="D488">
        <v>7.9</v>
      </c>
      <c r="E488">
        <v>101</v>
      </c>
      <c r="F488">
        <v>86</v>
      </c>
      <c r="G488" t="s">
        <v>7</v>
      </c>
      <c r="H488" s="1" t="str">
        <f t="shared" si="35"/>
        <v>30-40</v>
      </c>
      <c r="I488" s="1" t="str">
        <f t="shared" si="36"/>
        <v>Pre-High</v>
      </c>
      <c r="J488" s="1" t="str">
        <f t="shared" si="37"/>
        <v>Normal</v>
      </c>
      <c r="K488" s="1" t="str">
        <f t="shared" si="38"/>
        <v>High</v>
      </c>
      <c r="L488" s="1" t="str">
        <f t="shared" si="39"/>
        <v>High</v>
      </c>
    </row>
    <row r="489" spans="1:12" x14ac:dyDescent="0.25">
      <c r="A489">
        <v>50</v>
      </c>
      <c r="B489">
        <v>120</v>
      </c>
      <c r="C489">
        <v>80</v>
      </c>
      <c r="D489">
        <v>7.9</v>
      </c>
      <c r="E489">
        <v>98</v>
      </c>
      <c r="F489">
        <v>70</v>
      </c>
      <c r="G489" t="s">
        <v>8</v>
      </c>
      <c r="H489" s="1" t="str">
        <f t="shared" si="35"/>
        <v>40-50</v>
      </c>
      <c r="I489" s="1" t="str">
        <f t="shared" si="36"/>
        <v>Pre-High</v>
      </c>
      <c r="J489" s="1" t="str">
        <f t="shared" si="37"/>
        <v>Normal</v>
      </c>
      <c r="K489" s="1" t="str">
        <f t="shared" si="38"/>
        <v>Normal</v>
      </c>
      <c r="L489" s="1" t="str">
        <f t="shared" si="39"/>
        <v>Normal</v>
      </c>
    </row>
    <row r="490" spans="1:12" x14ac:dyDescent="0.25">
      <c r="A490">
        <v>39</v>
      </c>
      <c r="B490">
        <v>90</v>
      </c>
      <c r="C490">
        <v>70</v>
      </c>
      <c r="D490">
        <v>9</v>
      </c>
      <c r="E490">
        <v>98</v>
      </c>
      <c r="F490">
        <v>80</v>
      </c>
      <c r="G490" t="s">
        <v>7</v>
      </c>
      <c r="H490" s="1" t="str">
        <f t="shared" si="35"/>
        <v>30-40</v>
      </c>
      <c r="I490" s="1" t="str">
        <f t="shared" si="36"/>
        <v>Normal</v>
      </c>
      <c r="J490" s="1" t="str">
        <f t="shared" si="37"/>
        <v>Slightly High</v>
      </c>
      <c r="K490" s="1" t="str">
        <f t="shared" si="38"/>
        <v>Normal</v>
      </c>
      <c r="L490" s="1" t="str">
        <f t="shared" si="39"/>
        <v>Normal</v>
      </c>
    </row>
    <row r="491" spans="1:12" x14ac:dyDescent="0.25">
      <c r="A491">
        <v>30</v>
      </c>
      <c r="B491">
        <v>140</v>
      </c>
      <c r="C491">
        <v>100</v>
      </c>
      <c r="D491">
        <v>15</v>
      </c>
      <c r="E491">
        <v>98</v>
      </c>
      <c r="F491">
        <v>70</v>
      </c>
      <c r="G491" t="s">
        <v>7</v>
      </c>
      <c r="H491" s="1" t="str">
        <f t="shared" si="35"/>
        <v>20-30</v>
      </c>
      <c r="I491" s="1" t="str">
        <f t="shared" si="36"/>
        <v>Critical</v>
      </c>
      <c r="J491" s="1" t="str">
        <f t="shared" si="37"/>
        <v>High</v>
      </c>
      <c r="K491" s="1" t="str">
        <f t="shared" si="38"/>
        <v>Normal</v>
      </c>
      <c r="L491" s="1" t="str">
        <f t="shared" si="39"/>
        <v>Normal</v>
      </c>
    </row>
    <row r="492" spans="1:12" x14ac:dyDescent="0.25">
      <c r="A492">
        <v>31</v>
      </c>
      <c r="B492">
        <v>120</v>
      </c>
      <c r="C492">
        <v>60</v>
      </c>
      <c r="D492">
        <v>6.1</v>
      </c>
      <c r="E492">
        <v>98</v>
      </c>
      <c r="F492">
        <v>76</v>
      </c>
      <c r="G492" t="s">
        <v>9</v>
      </c>
      <c r="H492" s="1" t="str">
        <f t="shared" si="35"/>
        <v>30-40</v>
      </c>
      <c r="I492" s="1" t="str">
        <f t="shared" si="36"/>
        <v>Pre-High</v>
      </c>
      <c r="J492" s="1" t="str">
        <f t="shared" si="37"/>
        <v>Normal</v>
      </c>
      <c r="K492" s="1" t="str">
        <f t="shared" si="38"/>
        <v>Normal</v>
      </c>
      <c r="L492" s="1" t="str">
        <f t="shared" si="39"/>
        <v>Normal</v>
      </c>
    </row>
    <row r="493" spans="1:12" x14ac:dyDescent="0.25">
      <c r="A493">
        <v>23</v>
      </c>
      <c r="B493">
        <v>120</v>
      </c>
      <c r="C493">
        <v>90</v>
      </c>
      <c r="D493">
        <v>7.9</v>
      </c>
      <c r="E493">
        <v>98</v>
      </c>
      <c r="F493">
        <v>70</v>
      </c>
      <c r="G493" t="s">
        <v>9</v>
      </c>
      <c r="H493" s="1" t="str">
        <f t="shared" si="35"/>
        <v>20-30</v>
      </c>
      <c r="I493" s="1" t="str">
        <f t="shared" si="36"/>
        <v>High</v>
      </c>
      <c r="J493" s="1" t="str">
        <f t="shared" si="37"/>
        <v>Normal</v>
      </c>
      <c r="K493" s="1" t="str">
        <f t="shared" si="38"/>
        <v>Normal</v>
      </c>
      <c r="L493" s="1" t="str">
        <f t="shared" si="39"/>
        <v>Normal</v>
      </c>
    </row>
    <row r="494" spans="1:12" x14ac:dyDescent="0.25">
      <c r="A494">
        <v>29</v>
      </c>
      <c r="B494">
        <v>130</v>
      </c>
      <c r="C494">
        <v>70</v>
      </c>
      <c r="D494">
        <v>7.9</v>
      </c>
      <c r="E494">
        <v>98</v>
      </c>
      <c r="F494">
        <v>78</v>
      </c>
      <c r="G494" t="s">
        <v>9</v>
      </c>
      <c r="H494" s="1" t="str">
        <f t="shared" si="35"/>
        <v>20-30</v>
      </c>
      <c r="I494" s="1" t="str">
        <f t="shared" si="36"/>
        <v>Pre-High</v>
      </c>
      <c r="J494" s="1" t="str">
        <f t="shared" si="37"/>
        <v>Normal</v>
      </c>
      <c r="K494" s="1" t="str">
        <f t="shared" si="38"/>
        <v>Normal</v>
      </c>
      <c r="L494" s="1" t="str">
        <f t="shared" si="39"/>
        <v>Normal</v>
      </c>
    </row>
    <row r="495" spans="1:12" x14ac:dyDescent="0.25">
      <c r="A495">
        <v>17</v>
      </c>
      <c r="B495">
        <v>85</v>
      </c>
      <c r="C495">
        <v>60</v>
      </c>
      <c r="D495">
        <v>7.9</v>
      </c>
      <c r="E495">
        <v>102</v>
      </c>
      <c r="F495">
        <v>86</v>
      </c>
      <c r="G495" t="s">
        <v>8</v>
      </c>
      <c r="H495" s="1" t="str">
        <f t="shared" si="35"/>
        <v>10-20</v>
      </c>
      <c r="I495" s="1" t="str">
        <f t="shared" si="36"/>
        <v>Normal</v>
      </c>
      <c r="J495" s="1" t="str">
        <f t="shared" si="37"/>
        <v>Normal</v>
      </c>
      <c r="K495" s="1" t="str">
        <f t="shared" si="38"/>
        <v>High</v>
      </c>
      <c r="L495" s="1" t="str">
        <f t="shared" si="39"/>
        <v>High</v>
      </c>
    </row>
    <row r="496" spans="1:12" x14ac:dyDescent="0.25">
      <c r="A496">
        <v>32</v>
      </c>
      <c r="B496">
        <v>120</v>
      </c>
      <c r="C496">
        <v>90</v>
      </c>
      <c r="D496">
        <v>7.9</v>
      </c>
      <c r="E496">
        <v>98</v>
      </c>
      <c r="F496">
        <v>70</v>
      </c>
      <c r="G496" t="s">
        <v>8</v>
      </c>
      <c r="H496" s="1" t="str">
        <f t="shared" si="35"/>
        <v>30-40</v>
      </c>
      <c r="I496" s="1" t="str">
        <f t="shared" si="36"/>
        <v>High</v>
      </c>
      <c r="J496" s="1" t="str">
        <f t="shared" si="37"/>
        <v>Normal</v>
      </c>
      <c r="K496" s="1" t="str">
        <f t="shared" si="38"/>
        <v>Normal</v>
      </c>
      <c r="L496" s="1" t="str">
        <f t="shared" si="39"/>
        <v>Normal</v>
      </c>
    </row>
    <row r="497" spans="1:12" x14ac:dyDescent="0.25">
      <c r="A497">
        <v>42</v>
      </c>
      <c r="B497">
        <v>120</v>
      </c>
      <c r="C497">
        <v>80</v>
      </c>
      <c r="D497">
        <v>7.9</v>
      </c>
      <c r="E497">
        <v>98</v>
      </c>
      <c r="F497">
        <v>70</v>
      </c>
      <c r="G497" t="s">
        <v>8</v>
      </c>
      <c r="H497" s="1" t="str">
        <f t="shared" si="35"/>
        <v>40-50</v>
      </c>
      <c r="I497" s="1" t="str">
        <f t="shared" si="36"/>
        <v>Pre-High</v>
      </c>
      <c r="J497" s="1" t="str">
        <f t="shared" si="37"/>
        <v>Normal</v>
      </c>
      <c r="K497" s="1" t="str">
        <f t="shared" si="38"/>
        <v>Normal</v>
      </c>
      <c r="L497" s="1" t="str">
        <f t="shared" si="39"/>
        <v>Normal</v>
      </c>
    </row>
    <row r="498" spans="1:12" x14ac:dyDescent="0.25">
      <c r="A498">
        <v>23</v>
      </c>
      <c r="B498">
        <v>90</v>
      </c>
      <c r="C498">
        <v>60</v>
      </c>
      <c r="D498">
        <v>7.9</v>
      </c>
      <c r="E498">
        <v>98</v>
      </c>
      <c r="F498">
        <v>76</v>
      </c>
      <c r="G498" t="s">
        <v>8</v>
      </c>
      <c r="H498" s="1" t="str">
        <f t="shared" si="35"/>
        <v>20-30</v>
      </c>
      <c r="I498" s="1" t="str">
        <f t="shared" si="36"/>
        <v>Normal</v>
      </c>
      <c r="J498" s="1" t="str">
        <f t="shared" si="37"/>
        <v>Normal</v>
      </c>
      <c r="K498" s="1" t="str">
        <f t="shared" si="38"/>
        <v>Normal</v>
      </c>
      <c r="L498" s="1" t="str">
        <f t="shared" si="39"/>
        <v>Normal</v>
      </c>
    </row>
    <row r="499" spans="1:12" x14ac:dyDescent="0.25">
      <c r="A499">
        <v>19</v>
      </c>
      <c r="B499">
        <v>120</v>
      </c>
      <c r="C499">
        <v>80</v>
      </c>
      <c r="D499">
        <v>7</v>
      </c>
      <c r="E499">
        <v>98</v>
      </c>
      <c r="F499">
        <v>70</v>
      </c>
      <c r="G499" t="s">
        <v>8</v>
      </c>
      <c r="H499" s="1" t="str">
        <f t="shared" si="35"/>
        <v>10-20</v>
      </c>
      <c r="I499" s="1" t="str">
        <f t="shared" si="36"/>
        <v>Pre-High</v>
      </c>
      <c r="J499" s="1" t="str">
        <f t="shared" si="37"/>
        <v>Normal</v>
      </c>
      <c r="K499" s="1" t="str">
        <f t="shared" si="38"/>
        <v>Normal</v>
      </c>
      <c r="L499" s="1" t="str">
        <f t="shared" si="39"/>
        <v>Normal</v>
      </c>
    </row>
    <row r="500" spans="1:12" x14ac:dyDescent="0.25">
      <c r="A500">
        <v>15</v>
      </c>
      <c r="B500">
        <v>76</v>
      </c>
      <c r="C500">
        <v>49</v>
      </c>
      <c r="D500">
        <v>7.9</v>
      </c>
      <c r="E500">
        <v>98</v>
      </c>
      <c r="F500">
        <v>77</v>
      </c>
      <c r="G500" t="s">
        <v>8</v>
      </c>
      <c r="H500" s="1" t="str">
        <f t="shared" si="35"/>
        <v>10-20</v>
      </c>
      <c r="I500" s="1" t="str">
        <f t="shared" si="36"/>
        <v>Low BP</v>
      </c>
      <c r="J500" s="1" t="str">
        <f t="shared" si="37"/>
        <v>Normal</v>
      </c>
      <c r="K500" s="1" t="str">
        <f t="shared" si="38"/>
        <v>Normal</v>
      </c>
      <c r="L500" s="1" t="str">
        <f t="shared" si="39"/>
        <v>Normal</v>
      </c>
    </row>
    <row r="501" spans="1:12" x14ac:dyDescent="0.25">
      <c r="A501">
        <v>16</v>
      </c>
      <c r="B501">
        <v>120</v>
      </c>
      <c r="C501">
        <v>75</v>
      </c>
      <c r="D501">
        <v>7.9</v>
      </c>
      <c r="E501">
        <v>98</v>
      </c>
      <c r="F501">
        <v>7</v>
      </c>
      <c r="G501" t="s">
        <v>8</v>
      </c>
      <c r="H501" s="1" t="str">
        <f t="shared" si="35"/>
        <v>10-20</v>
      </c>
      <c r="I501" s="1" t="str">
        <f t="shared" si="36"/>
        <v>Pre-High</v>
      </c>
      <c r="J501" s="1" t="str">
        <f t="shared" si="37"/>
        <v>Normal</v>
      </c>
      <c r="K501" s="1" t="str">
        <f t="shared" si="38"/>
        <v>Low</v>
      </c>
      <c r="L501" s="1" t="str">
        <f t="shared" si="39"/>
        <v>Normal</v>
      </c>
    </row>
    <row r="502" spans="1:12" x14ac:dyDescent="0.25">
      <c r="A502">
        <v>48</v>
      </c>
      <c r="B502">
        <v>120</v>
      </c>
      <c r="C502">
        <v>80</v>
      </c>
      <c r="D502">
        <v>11</v>
      </c>
      <c r="E502">
        <v>98</v>
      </c>
      <c r="F502">
        <v>88</v>
      </c>
      <c r="G502" t="s">
        <v>9</v>
      </c>
      <c r="H502" s="1" t="str">
        <f t="shared" si="35"/>
        <v>40-50</v>
      </c>
      <c r="I502" s="1" t="str">
        <f t="shared" si="36"/>
        <v>Pre-High</v>
      </c>
      <c r="J502" s="1" t="str">
        <f t="shared" si="37"/>
        <v>Slightly High</v>
      </c>
      <c r="K502" s="1" t="str">
        <f t="shared" si="38"/>
        <v>High</v>
      </c>
      <c r="L502" s="1" t="str">
        <f t="shared" si="39"/>
        <v>Normal</v>
      </c>
    </row>
    <row r="503" spans="1:12" x14ac:dyDescent="0.25">
      <c r="A503">
        <v>15</v>
      </c>
      <c r="B503">
        <v>120</v>
      </c>
      <c r="C503">
        <v>80</v>
      </c>
      <c r="D503">
        <v>7.9</v>
      </c>
      <c r="E503">
        <v>98</v>
      </c>
      <c r="F503">
        <v>70</v>
      </c>
      <c r="G503" t="s">
        <v>8</v>
      </c>
      <c r="H503" s="1" t="str">
        <f t="shared" si="35"/>
        <v>10-20</v>
      </c>
      <c r="I503" s="1" t="str">
        <f t="shared" si="36"/>
        <v>Pre-High</v>
      </c>
      <c r="J503" s="1" t="str">
        <f t="shared" si="37"/>
        <v>Normal</v>
      </c>
      <c r="K503" s="1" t="str">
        <f t="shared" si="38"/>
        <v>Normal</v>
      </c>
      <c r="L503" s="1" t="str">
        <f t="shared" si="39"/>
        <v>Normal</v>
      </c>
    </row>
    <row r="504" spans="1:12" x14ac:dyDescent="0.25">
      <c r="A504">
        <v>63</v>
      </c>
      <c r="B504">
        <v>140</v>
      </c>
      <c r="C504">
        <v>90</v>
      </c>
      <c r="D504">
        <v>15</v>
      </c>
      <c r="E504">
        <v>98</v>
      </c>
      <c r="F504">
        <v>90</v>
      </c>
      <c r="G504" t="s">
        <v>7</v>
      </c>
      <c r="H504" s="1" t="str">
        <f t="shared" si="35"/>
        <v>50+</v>
      </c>
      <c r="I504" s="1" t="str">
        <f t="shared" si="36"/>
        <v>High</v>
      </c>
      <c r="J504" s="1" t="str">
        <f t="shared" si="37"/>
        <v>High</v>
      </c>
      <c r="K504" s="1" t="str">
        <f t="shared" si="38"/>
        <v>High</v>
      </c>
      <c r="L504" s="1" t="str">
        <f t="shared" si="39"/>
        <v>Normal</v>
      </c>
    </row>
    <row r="505" spans="1:12" x14ac:dyDescent="0.25">
      <c r="A505">
        <v>25</v>
      </c>
      <c r="B505">
        <v>140</v>
      </c>
      <c r="C505">
        <v>100</v>
      </c>
      <c r="D505">
        <v>7.9</v>
      </c>
      <c r="E505">
        <v>98</v>
      </c>
      <c r="F505">
        <v>80</v>
      </c>
      <c r="G505" t="s">
        <v>7</v>
      </c>
      <c r="H505" s="1" t="str">
        <f t="shared" si="35"/>
        <v>20-30</v>
      </c>
      <c r="I505" s="1" t="str">
        <f t="shared" si="36"/>
        <v>Critical</v>
      </c>
      <c r="J505" s="1" t="str">
        <f t="shared" si="37"/>
        <v>Normal</v>
      </c>
      <c r="K505" s="1" t="str">
        <f t="shared" si="38"/>
        <v>Normal</v>
      </c>
      <c r="L505" s="1" t="str">
        <f t="shared" si="39"/>
        <v>Normal</v>
      </c>
    </row>
    <row r="506" spans="1:12" x14ac:dyDescent="0.25">
      <c r="A506">
        <v>30</v>
      </c>
      <c r="B506">
        <v>120</v>
      </c>
      <c r="C506">
        <v>80</v>
      </c>
      <c r="D506">
        <v>7.9</v>
      </c>
      <c r="E506">
        <v>101</v>
      </c>
      <c r="F506">
        <v>76</v>
      </c>
      <c r="G506" t="s">
        <v>7</v>
      </c>
      <c r="H506" s="1" t="str">
        <f t="shared" si="35"/>
        <v>20-30</v>
      </c>
      <c r="I506" s="1" t="str">
        <f t="shared" si="36"/>
        <v>Pre-High</v>
      </c>
      <c r="J506" s="1" t="str">
        <f t="shared" si="37"/>
        <v>Normal</v>
      </c>
      <c r="K506" s="1" t="str">
        <f t="shared" si="38"/>
        <v>Normal</v>
      </c>
      <c r="L506" s="1" t="str">
        <f t="shared" si="39"/>
        <v>High</v>
      </c>
    </row>
    <row r="507" spans="1:12" x14ac:dyDescent="0.25">
      <c r="A507">
        <v>17</v>
      </c>
      <c r="B507">
        <v>70</v>
      </c>
      <c r="C507">
        <v>50</v>
      </c>
      <c r="D507">
        <v>7.9</v>
      </c>
      <c r="E507">
        <v>98</v>
      </c>
      <c r="F507">
        <v>70</v>
      </c>
      <c r="G507" t="s">
        <v>8</v>
      </c>
      <c r="H507" s="1" t="str">
        <f t="shared" si="35"/>
        <v>10-20</v>
      </c>
      <c r="I507" s="1" t="str">
        <f t="shared" si="36"/>
        <v>Low BP</v>
      </c>
      <c r="J507" s="1" t="str">
        <f t="shared" si="37"/>
        <v>Normal</v>
      </c>
      <c r="K507" s="1" t="str">
        <f t="shared" si="38"/>
        <v>Normal</v>
      </c>
      <c r="L507" s="1" t="str">
        <f t="shared" si="39"/>
        <v>Normal</v>
      </c>
    </row>
    <row r="508" spans="1:12" x14ac:dyDescent="0.25">
      <c r="A508">
        <v>55</v>
      </c>
      <c r="B508">
        <v>140</v>
      </c>
      <c r="C508">
        <v>100</v>
      </c>
      <c r="D508">
        <v>18</v>
      </c>
      <c r="E508">
        <v>98</v>
      </c>
      <c r="F508">
        <v>90</v>
      </c>
      <c r="G508" t="s">
        <v>7</v>
      </c>
      <c r="H508" s="1" t="str">
        <f t="shared" si="35"/>
        <v>50+</v>
      </c>
      <c r="I508" s="1" t="str">
        <f t="shared" si="36"/>
        <v>Critical</v>
      </c>
      <c r="J508" s="1" t="str">
        <f t="shared" si="37"/>
        <v>High</v>
      </c>
      <c r="K508" s="1" t="str">
        <f t="shared" si="38"/>
        <v>High</v>
      </c>
      <c r="L508" s="1" t="str">
        <f t="shared" si="39"/>
        <v>Normal</v>
      </c>
    </row>
    <row r="509" spans="1:12" x14ac:dyDescent="0.25">
      <c r="A509">
        <v>18</v>
      </c>
      <c r="B509">
        <v>120</v>
      </c>
      <c r="C509">
        <v>80</v>
      </c>
      <c r="D509">
        <v>7.9</v>
      </c>
      <c r="E509">
        <v>102</v>
      </c>
      <c r="F509">
        <v>76</v>
      </c>
      <c r="G509" t="s">
        <v>9</v>
      </c>
      <c r="H509" s="1" t="str">
        <f t="shared" si="35"/>
        <v>10-20</v>
      </c>
      <c r="I509" s="1" t="str">
        <f t="shared" si="36"/>
        <v>Pre-High</v>
      </c>
      <c r="J509" s="1" t="str">
        <f t="shared" si="37"/>
        <v>Normal</v>
      </c>
      <c r="K509" s="1" t="str">
        <f t="shared" si="38"/>
        <v>Normal</v>
      </c>
      <c r="L509" s="1" t="str">
        <f t="shared" si="39"/>
        <v>High</v>
      </c>
    </row>
    <row r="510" spans="1:12" x14ac:dyDescent="0.25">
      <c r="A510">
        <v>32</v>
      </c>
      <c r="B510">
        <v>140</v>
      </c>
      <c r="C510">
        <v>100</v>
      </c>
      <c r="D510">
        <v>7.9</v>
      </c>
      <c r="E510">
        <v>98</v>
      </c>
      <c r="F510">
        <v>78</v>
      </c>
      <c r="G510" t="s">
        <v>7</v>
      </c>
      <c r="H510" s="1" t="str">
        <f t="shared" si="35"/>
        <v>30-40</v>
      </c>
      <c r="I510" s="1" t="str">
        <f t="shared" si="36"/>
        <v>Critical</v>
      </c>
      <c r="J510" s="1" t="str">
        <f t="shared" si="37"/>
        <v>Normal</v>
      </c>
      <c r="K510" s="1" t="str">
        <f t="shared" si="38"/>
        <v>Normal</v>
      </c>
      <c r="L510" s="1" t="str">
        <f t="shared" si="39"/>
        <v>Normal</v>
      </c>
    </row>
    <row r="511" spans="1:12" x14ac:dyDescent="0.25">
      <c r="A511">
        <v>17</v>
      </c>
      <c r="B511">
        <v>90</v>
      </c>
      <c r="C511">
        <v>60</v>
      </c>
      <c r="D511">
        <v>7.5</v>
      </c>
      <c r="E511">
        <v>101</v>
      </c>
      <c r="F511">
        <v>76</v>
      </c>
      <c r="G511" t="s">
        <v>8</v>
      </c>
      <c r="H511" s="1" t="str">
        <f t="shared" si="35"/>
        <v>10-20</v>
      </c>
      <c r="I511" s="1" t="str">
        <f t="shared" si="36"/>
        <v>Normal</v>
      </c>
      <c r="J511" s="1" t="str">
        <f t="shared" si="37"/>
        <v>Normal</v>
      </c>
      <c r="K511" s="1" t="str">
        <f t="shared" si="38"/>
        <v>Normal</v>
      </c>
      <c r="L511" s="1" t="str">
        <f t="shared" si="39"/>
        <v>High</v>
      </c>
    </row>
    <row r="512" spans="1:12" x14ac:dyDescent="0.25">
      <c r="A512">
        <v>17</v>
      </c>
      <c r="B512">
        <v>90</v>
      </c>
      <c r="C512">
        <v>63</v>
      </c>
      <c r="D512">
        <v>7.5</v>
      </c>
      <c r="E512">
        <v>101</v>
      </c>
      <c r="F512">
        <v>70</v>
      </c>
      <c r="G512" t="s">
        <v>8</v>
      </c>
      <c r="H512" s="1" t="str">
        <f t="shared" si="35"/>
        <v>10-20</v>
      </c>
      <c r="I512" s="1" t="str">
        <f t="shared" si="36"/>
        <v>Normal</v>
      </c>
      <c r="J512" s="1" t="str">
        <f t="shared" si="37"/>
        <v>Normal</v>
      </c>
      <c r="K512" s="1" t="str">
        <f t="shared" si="38"/>
        <v>Normal</v>
      </c>
      <c r="L512" s="1" t="str">
        <f t="shared" si="39"/>
        <v>High</v>
      </c>
    </row>
    <row r="513" spans="1:12" x14ac:dyDescent="0.25">
      <c r="A513">
        <v>25</v>
      </c>
      <c r="B513">
        <v>120</v>
      </c>
      <c r="C513">
        <v>90</v>
      </c>
      <c r="D513">
        <v>7.5</v>
      </c>
      <c r="E513">
        <v>101</v>
      </c>
      <c r="F513">
        <v>80</v>
      </c>
      <c r="G513" t="s">
        <v>8</v>
      </c>
      <c r="H513" s="1" t="str">
        <f t="shared" si="35"/>
        <v>20-30</v>
      </c>
      <c r="I513" s="1" t="str">
        <f t="shared" si="36"/>
        <v>High</v>
      </c>
      <c r="J513" s="1" t="str">
        <f t="shared" si="37"/>
        <v>Normal</v>
      </c>
      <c r="K513" s="1" t="str">
        <f t="shared" si="38"/>
        <v>Normal</v>
      </c>
      <c r="L513" s="1" t="str">
        <f t="shared" si="39"/>
        <v>High</v>
      </c>
    </row>
    <row r="514" spans="1:12" x14ac:dyDescent="0.25">
      <c r="A514">
        <v>17</v>
      </c>
      <c r="B514">
        <v>120</v>
      </c>
      <c r="C514">
        <v>80</v>
      </c>
      <c r="D514">
        <v>7.5</v>
      </c>
      <c r="E514">
        <v>102</v>
      </c>
      <c r="F514">
        <v>76</v>
      </c>
      <c r="G514" t="s">
        <v>8</v>
      </c>
      <c r="H514" s="1" t="str">
        <f t="shared" si="35"/>
        <v>10-20</v>
      </c>
      <c r="I514" s="1" t="str">
        <f t="shared" si="36"/>
        <v>Pre-High</v>
      </c>
      <c r="J514" s="1" t="str">
        <f t="shared" si="37"/>
        <v>Normal</v>
      </c>
      <c r="K514" s="1" t="str">
        <f t="shared" si="38"/>
        <v>Normal</v>
      </c>
      <c r="L514" s="1" t="str">
        <f t="shared" si="39"/>
        <v>High</v>
      </c>
    </row>
    <row r="515" spans="1:12" x14ac:dyDescent="0.25">
      <c r="A515">
        <v>19</v>
      </c>
      <c r="B515">
        <v>90</v>
      </c>
      <c r="C515">
        <v>65</v>
      </c>
      <c r="D515">
        <v>7.5</v>
      </c>
      <c r="E515">
        <v>101</v>
      </c>
      <c r="F515">
        <v>70</v>
      </c>
      <c r="G515" t="s">
        <v>8</v>
      </c>
      <c r="H515" s="1" t="str">
        <f t="shared" ref="H515:H578" si="40">IF(A515&lt;=20,"10-20",
 IF(A515&lt;=30,"20-30",
 IF(A515&lt;=40,"30-40",
 IF(A515&lt;=50,"40-50","50+"))))</f>
        <v>10-20</v>
      </c>
      <c r="I515" s="1" t="str">
        <f t="shared" ref="I515:I578" si="41">IF(AND(B515&lt;90,C515&lt;60),"Low BP",
 IF(AND(B515&lt;120,C515&lt;80),"Normal",
 IF(AND(B515&lt;140,C515&lt;90),"Pre-High",
 IF(AND(B515&lt;160,C515&lt;100),"High","Critical"))))</f>
        <v>Normal</v>
      </c>
      <c r="J515" s="1" t="str">
        <f t="shared" ref="J515:J578" si="42">IF(D515&lt;8,"Normal",
 IF(D515&lt;12,"Slightly High","High"))</f>
        <v>Normal</v>
      </c>
      <c r="K515" s="1" t="str">
        <f t="shared" ref="K515:K578" si="43">IF(F515&lt;70,"Low",
 IF(F515&lt;=85,"Normal","High"))</f>
        <v>Normal</v>
      </c>
      <c r="L515" s="1" t="str">
        <f t="shared" ref="L515:L578" si="44">IF(E515&lt;97.5,"Low",
 IF(E515&lt;=99,"Normal","High"))</f>
        <v>High</v>
      </c>
    </row>
    <row r="516" spans="1:12" x14ac:dyDescent="0.25">
      <c r="A516">
        <v>15</v>
      </c>
      <c r="B516">
        <v>80</v>
      </c>
      <c r="C516">
        <v>60</v>
      </c>
      <c r="D516">
        <v>7.5</v>
      </c>
      <c r="E516">
        <v>98</v>
      </c>
      <c r="F516">
        <v>80</v>
      </c>
      <c r="G516" t="s">
        <v>8</v>
      </c>
      <c r="H516" s="1" t="str">
        <f t="shared" si="40"/>
        <v>10-20</v>
      </c>
      <c r="I516" s="1" t="str">
        <f t="shared" si="41"/>
        <v>Normal</v>
      </c>
      <c r="J516" s="1" t="str">
        <f t="shared" si="42"/>
        <v>Normal</v>
      </c>
      <c r="K516" s="1" t="str">
        <f t="shared" si="43"/>
        <v>Normal</v>
      </c>
      <c r="L516" s="1" t="str">
        <f t="shared" si="44"/>
        <v>Normal</v>
      </c>
    </row>
    <row r="517" spans="1:12" x14ac:dyDescent="0.25">
      <c r="A517">
        <v>60</v>
      </c>
      <c r="B517">
        <v>90</v>
      </c>
      <c r="C517">
        <v>65</v>
      </c>
      <c r="D517">
        <v>7.5</v>
      </c>
      <c r="E517">
        <v>98</v>
      </c>
      <c r="F517">
        <v>77</v>
      </c>
      <c r="G517" t="s">
        <v>8</v>
      </c>
      <c r="H517" s="1" t="str">
        <f t="shared" si="40"/>
        <v>50+</v>
      </c>
      <c r="I517" s="1" t="str">
        <f t="shared" si="41"/>
        <v>Normal</v>
      </c>
      <c r="J517" s="1" t="str">
        <f t="shared" si="42"/>
        <v>Normal</v>
      </c>
      <c r="K517" s="1" t="str">
        <f t="shared" si="43"/>
        <v>Normal</v>
      </c>
      <c r="L517" s="1" t="str">
        <f t="shared" si="44"/>
        <v>Normal</v>
      </c>
    </row>
    <row r="518" spans="1:12" x14ac:dyDescent="0.25">
      <c r="A518">
        <v>18</v>
      </c>
      <c r="B518">
        <v>85</v>
      </c>
      <c r="C518">
        <v>60</v>
      </c>
      <c r="D518">
        <v>7.5</v>
      </c>
      <c r="E518">
        <v>101</v>
      </c>
      <c r="F518">
        <v>86</v>
      </c>
      <c r="G518" t="s">
        <v>9</v>
      </c>
      <c r="H518" s="1" t="str">
        <f t="shared" si="40"/>
        <v>10-20</v>
      </c>
      <c r="I518" s="1" t="str">
        <f t="shared" si="41"/>
        <v>Normal</v>
      </c>
      <c r="J518" s="1" t="str">
        <f t="shared" si="42"/>
        <v>Normal</v>
      </c>
      <c r="K518" s="1" t="str">
        <f t="shared" si="43"/>
        <v>High</v>
      </c>
      <c r="L518" s="1" t="str">
        <f t="shared" si="44"/>
        <v>High</v>
      </c>
    </row>
    <row r="519" spans="1:12" x14ac:dyDescent="0.25">
      <c r="A519">
        <v>50</v>
      </c>
      <c r="B519">
        <v>120</v>
      </c>
      <c r="C519">
        <v>80</v>
      </c>
      <c r="D519">
        <v>7.5</v>
      </c>
      <c r="E519">
        <v>98</v>
      </c>
      <c r="F519">
        <v>70</v>
      </c>
      <c r="G519" t="s">
        <v>8</v>
      </c>
      <c r="H519" s="1" t="str">
        <f t="shared" si="40"/>
        <v>40-50</v>
      </c>
      <c r="I519" s="1" t="str">
        <f t="shared" si="41"/>
        <v>Pre-High</v>
      </c>
      <c r="J519" s="1" t="str">
        <f t="shared" si="42"/>
        <v>Normal</v>
      </c>
      <c r="K519" s="1" t="str">
        <f t="shared" si="43"/>
        <v>Normal</v>
      </c>
      <c r="L519" s="1" t="str">
        <f t="shared" si="44"/>
        <v>Normal</v>
      </c>
    </row>
    <row r="520" spans="1:12" x14ac:dyDescent="0.25">
      <c r="A520">
        <v>19</v>
      </c>
      <c r="B520">
        <v>90</v>
      </c>
      <c r="C520">
        <v>70</v>
      </c>
      <c r="D520">
        <v>7.5</v>
      </c>
      <c r="E520">
        <v>98</v>
      </c>
      <c r="F520">
        <v>80</v>
      </c>
      <c r="G520" t="s">
        <v>8</v>
      </c>
      <c r="H520" s="1" t="str">
        <f t="shared" si="40"/>
        <v>10-20</v>
      </c>
      <c r="I520" s="1" t="str">
        <f t="shared" si="41"/>
        <v>Normal</v>
      </c>
      <c r="J520" s="1" t="str">
        <f t="shared" si="42"/>
        <v>Normal</v>
      </c>
      <c r="K520" s="1" t="str">
        <f t="shared" si="43"/>
        <v>Normal</v>
      </c>
      <c r="L520" s="1" t="str">
        <f t="shared" si="44"/>
        <v>Normal</v>
      </c>
    </row>
    <row r="521" spans="1:12" x14ac:dyDescent="0.25">
      <c r="A521">
        <v>30</v>
      </c>
      <c r="B521">
        <v>140</v>
      </c>
      <c r="C521">
        <v>100</v>
      </c>
      <c r="D521">
        <v>15</v>
      </c>
      <c r="E521">
        <v>98</v>
      </c>
      <c r="F521">
        <v>70</v>
      </c>
      <c r="G521" t="s">
        <v>7</v>
      </c>
      <c r="H521" s="1" t="str">
        <f t="shared" si="40"/>
        <v>20-30</v>
      </c>
      <c r="I521" s="1" t="str">
        <f t="shared" si="41"/>
        <v>Critical</v>
      </c>
      <c r="J521" s="1" t="str">
        <f t="shared" si="42"/>
        <v>High</v>
      </c>
      <c r="K521" s="1" t="str">
        <f t="shared" si="43"/>
        <v>Normal</v>
      </c>
      <c r="L521" s="1" t="str">
        <f t="shared" si="44"/>
        <v>Normal</v>
      </c>
    </row>
    <row r="522" spans="1:12" x14ac:dyDescent="0.25">
      <c r="A522">
        <v>31</v>
      </c>
      <c r="B522">
        <v>120</v>
      </c>
      <c r="C522">
        <v>60</v>
      </c>
      <c r="D522">
        <v>6.1</v>
      </c>
      <c r="E522">
        <v>98</v>
      </c>
      <c r="F522">
        <v>76</v>
      </c>
      <c r="G522" t="s">
        <v>8</v>
      </c>
      <c r="H522" s="1" t="str">
        <f t="shared" si="40"/>
        <v>30-40</v>
      </c>
      <c r="I522" s="1" t="str">
        <f t="shared" si="41"/>
        <v>Pre-High</v>
      </c>
      <c r="J522" s="1" t="str">
        <f t="shared" si="42"/>
        <v>Normal</v>
      </c>
      <c r="K522" s="1" t="str">
        <f t="shared" si="43"/>
        <v>Normal</v>
      </c>
      <c r="L522" s="1" t="str">
        <f t="shared" si="44"/>
        <v>Normal</v>
      </c>
    </row>
    <row r="523" spans="1:12" x14ac:dyDescent="0.25">
      <c r="A523">
        <v>23</v>
      </c>
      <c r="B523">
        <v>120</v>
      </c>
      <c r="C523">
        <v>90</v>
      </c>
      <c r="D523">
        <v>7.5</v>
      </c>
      <c r="E523">
        <v>98</v>
      </c>
      <c r="F523">
        <v>70</v>
      </c>
      <c r="G523" t="s">
        <v>8</v>
      </c>
      <c r="H523" s="1" t="str">
        <f t="shared" si="40"/>
        <v>20-30</v>
      </c>
      <c r="I523" s="1" t="str">
        <f t="shared" si="41"/>
        <v>High</v>
      </c>
      <c r="J523" s="1" t="str">
        <f t="shared" si="42"/>
        <v>Normal</v>
      </c>
      <c r="K523" s="1" t="str">
        <f t="shared" si="43"/>
        <v>Normal</v>
      </c>
      <c r="L523" s="1" t="str">
        <f t="shared" si="44"/>
        <v>Normal</v>
      </c>
    </row>
    <row r="524" spans="1:12" x14ac:dyDescent="0.25">
      <c r="A524">
        <v>29</v>
      </c>
      <c r="B524">
        <v>130</v>
      </c>
      <c r="C524">
        <v>70</v>
      </c>
      <c r="D524">
        <v>7.5</v>
      </c>
      <c r="E524">
        <v>98</v>
      </c>
      <c r="F524">
        <v>78</v>
      </c>
      <c r="G524" t="s">
        <v>9</v>
      </c>
      <c r="H524" s="1" t="str">
        <f t="shared" si="40"/>
        <v>20-30</v>
      </c>
      <c r="I524" s="1" t="str">
        <f t="shared" si="41"/>
        <v>Pre-High</v>
      </c>
      <c r="J524" s="1" t="str">
        <f t="shared" si="42"/>
        <v>Normal</v>
      </c>
      <c r="K524" s="1" t="str">
        <f t="shared" si="43"/>
        <v>Normal</v>
      </c>
      <c r="L524" s="1" t="str">
        <f t="shared" si="44"/>
        <v>Normal</v>
      </c>
    </row>
    <row r="525" spans="1:12" x14ac:dyDescent="0.25">
      <c r="A525">
        <v>17</v>
      </c>
      <c r="B525">
        <v>85</v>
      </c>
      <c r="C525">
        <v>60</v>
      </c>
      <c r="D525">
        <v>7.5</v>
      </c>
      <c r="E525">
        <v>102</v>
      </c>
      <c r="F525">
        <v>86</v>
      </c>
      <c r="G525" t="s">
        <v>8</v>
      </c>
      <c r="H525" s="1" t="str">
        <f t="shared" si="40"/>
        <v>10-20</v>
      </c>
      <c r="I525" s="1" t="str">
        <f t="shared" si="41"/>
        <v>Normal</v>
      </c>
      <c r="J525" s="1" t="str">
        <f t="shared" si="42"/>
        <v>Normal</v>
      </c>
      <c r="K525" s="1" t="str">
        <f t="shared" si="43"/>
        <v>High</v>
      </c>
      <c r="L525" s="1" t="str">
        <f t="shared" si="44"/>
        <v>High</v>
      </c>
    </row>
    <row r="526" spans="1:12" x14ac:dyDescent="0.25">
      <c r="A526">
        <v>32</v>
      </c>
      <c r="B526">
        <v>120</v>
      </c>
      <c r="C526">
        <v>90</v>
      </c>
      <c r="D526">
        <v>7.5</v>
      </c>
      <c r="E526">
        <v>98</v>
      </c>
      <c r="F526">
        <v>70</v>
      </c>
      <c r="G526" t="s">
        <v>8</v>
      </c>
      <c r="H526" s="1" t="str">
        <f t="shared" si="40"/>
        <v>30-40</v>
      </c>
      <c r="I526" s="1" t="str">
        <f t="shared" si="41"/>
        <v>High</v>
      </c>
      <c r="J526" s="1" t="str">
        <f t="shared" si="42"/>
        <v>Normal</v>
      </c>
      <c r="K526" s="1" t="str">
        <f t="shared" si="43"/>
        <v>Normal</v>
      </c>
      <c r="L526" s="1" t="str">
        <f t="shared" si="44"/>
        <v>Normal</v>
      </c>
    </row>
    <row r="527" spans="1:12" x14ac:dyDescent="0.25">
      <c r="A527">
        <v>42</v>
      </c>
      <c r="B527">
        <v>120</v>
      </c>
      <c r="C527">
        <v>80</v>
      </c>
      <c r="D527">
        <v>7.5</v>
      </c>
      <c r="E527">
        <v>98</v>
      </c>
      <c r="F527">
        <v>70</v>
      </c>
      <c r="G527" t="s">
        <v>8</v>
      </c>
      <c r="H527" s="1" t="str">
        <f t="shared" si="40"/>
        <v>40-50</v>
      </c>
      <c r="I527" s="1" t="str">
        <f t="shared" si="41"/>
        <v>Pre-High</v>
      </c>
      <c r="J527" s="1" t="str">
        <f t="shared" si="42"/>
        <v>Normal</v>
      </c>
      <c r="K527" s="1" t="str">
        <f t="shared" si="43"/>
        <v>Normal</v>
      </c>
      <c r="L527" s="1" t="str">
        <f t="shared" si="44"/>
        <v>Normal</v>
      </c>
    </row>
    <row r="528" spans="1:12" x14ac:dyDescent="0.25">
      <c r="A528">
        <v>42</v>
      </c>
      <c r="B528">
        <v>90</v>
      </c>
      <c r="C528">
        <v>60</v>
      </c>
      <c r="D528">
        <v>7.5</v>
      </c>
      <c r="E528">
        <v>98</v>
      </c>
      <c r="F528">
        <v>76</v>
      </c>
      <c r="G528" t="s">
        <v>8</v>
      </c>
      <c r="H528" s="1" t="str">
        <f t="shared" si="40"/>
        <v>40-50</v>
      </c>
      <c r="I528" s="1" t="str">
        <f t="shared" si="41"/>
        <v>Normal</v>
      </c>
      <c r="J528" s="1" t="str">
        <f t="shared" si="42"/>
        <v>Normal</v>
      </c>
      <c r="K528" s="1" t="str">
        <f t="shared" si="43"/>
        <v>Normal</v>
      </c>
      <c r="L528" s="1" t="str">
        <f t="shared" si="44"/>
        <v>Normal</v>
      </c>
    </row>
    <row r="529" spans="1:12" x14ac:dyDescent="0.25">
      <c r="A529">
        <v>19</v>
      </c>
      <c r="B529">
        <v>120</v>
      </c>
      <c r="C529">
        <v>80</v>
      </c>
      <c r="D529">
        <v>7</v>
      </c>
      <c r="E529">
        <v>98</v>
      </c>
      <c r="F529">
        <v>70</v>
      </c>
      <c r="G529" t="s">
        <v>8</v>
      </c>
      <c r="H529" s="1" t="str">
        <f t="shared" si="40"/>
        <v>10-20</v>
      </c>
      <c r="I529" s="1" t="str">
        <f t="shared" si="41"/>
        <v>Pre-High</v>
      </c>
      <c r="J529" s="1" t="str">
        <f t="shared" si="42"/>
        <v>Normal</v>
      </c>
      <c r="K529" s="1" t="str">
        <f t="shared" si="43"/>
        <v>Normal</v>
      </c>
      <c r="L529" s="1" t="str">
        <f t="shared" si="44"/>
        <v>Normal</v>
      </c>
    </row>
    <row r="530" spans="1:12" x14ac:dyDescent="0.25">
      <c r="A530">
        <v>15</v>
      </c>
      <c r="B530">
        <v>78</v>
      </c>
      <c r="C530">
        <v>49</v>
      </c>
      <c r="D530">
        <v>7.5</v>
      </c>
      <c r="E530">
        <v>98</v>
      </c>
      <c r="F530">
        <v>77</v>
      </c>
      <c r="G530" t="s">
        <v>8</v>
      </c>
      <c r="H530" s="1" t="str">
        <f t="shared" si="40"/>
        <v>10-20</v>
      </c>
      <c r="I530" s="1" t="str">
        <f t="shared" si="41"/>
        <v>Low BP</v>
      </c>
      <c r="J530" s="1" t="str">
        <f t="shared" si="42"/>
        <v>Normal</v>
      </c>
      <c r="K530" s="1" t="str">
        <f t="shared" si="43"/>
        <v>Normal</v>
      </c>
      <c r="L530" s="1" t="str">
        <f t="shared" si="44"/>
        <v>Normal</v>
      </c>
    </row>
    <row r="531" spans="1:12" x14ac:dyDescent="0.25">
      <c r="A531">
        <v>23</v>
      </c>
      <c r="B531">
        <v>120</v>
      </c>
      <c r="C531">
        <v>75</v>
      </c>
      <c r="D531">
        <v>8</v>
      </c>
      <c r="E531">
        <v>98</v>
      </c>
      <c r="F531">
        <v>70</v>
      </c>
      <c r="G531" t="s">
        <v>9</v>
      </c>
      <c r="H531" s="1" t="str">
        <f t="shared" si="40"/>
        <v>20-30</v>
      </c>
      <c r="I531" s="1" t="str">
        <f t="shared" si="41"/>
        <v>Pre-High</v>
      </c>
      <c r="J531" s="1" t="str">
        <f t="shared" si="42"/>
        <v>Slightly High</v>
      </c>
      <c r="K531" s="1" t="str">
        <f t="shared" si="43"/>
        <v>Normal</v>
      </c>
      <c r="L531" s="1" t="str">
        <f t="shared" si="44"/>
        <v>Normal</v>
      </c>
    </row>
    <row r="532" spans="1:12" x14ac:dyDescent="0.25">
      <c r="A532">
        <v>48</v>
      </c>
      <c r="B532">
        <v>120</v>
      </c>
      <c r="C532">
        <v>80</v>
      </c>
      <c r="D532">
        <v>11</v>
      </c>
      <c r="E532">
        <v>98</v>
      </c>
      <c r="F532">
        <v>88</v>
      </c>
      <c r="G532" t="s">
        <v>7</v>
      </c>
      <c r="H532" s="1" t="str">
        <f t="shared" si="40"/>
        <v>40-50</v>
      </c>
      <c r="I532" s="1" t="str">
        <f t="shared" si="41"/>
        <v>Pre-High</v>
      </c>
      <c r="J532" s="1" t="str">
        <f t="shared" si="42"/>
        <v>Slightly High</v>
      </c>
      <c r="K532" s="1" t="str">
        <f t="shared" si="43"/>
        <v>High</v>
      </c>
      <c r="L532" s="1" t="str">
        <f t="shared" si="44"/>
        <v>Normal</v>
      </c>
    </row>
    <row r="533" spans="1:12" x14ac:dyDescent="0.25">
      <c r="A533">
        <v>15</v>
      </c>
      <c r="B533">
        <v>120</v>
      </c>
      <c r="C533">
        <v>80</v>
      </c>
      <c r="D533">
        <v>7.5</v>
      </c>
      <c r="E533">
        <v>98</v>
      </c>
      <c r="F533">
        <v>70</v>
      </c>
      <c r="G533" t="s">
        <v>9</v>
      </c>
      <c r="H533" s="1" t="str">
        <f t="shared" si="40"/>
        <v>10-20</v>
      </c>
      <c r="I533" s="1" t="str">
        <f t="shared" si="41"/>
        <v>Pre-High</v>
      </c>
      <c r="J533" s="1" t="str">
        <f t="shared" si="42"/>
        <v>Normal</v>
      </c>
      <c r="K533" s="1" t="str">
        <f t="shared" si="43"/>
        <v>Normal</v>
      </c>
      <c r="L533" s="1" t="str">
        <f t="shared" si="44"/>
        <v>Normal</v>
      </c>
    </row>
    <row r="534" spans="1:12" x14ac:dyDescent="0.25">
      <c r="A534">
        <v>49</v>
      </c>
      <c r="B534">
        <v>140</v>
      </c>
      <c r="C534">
        <v>90</v>
      </c>
      <c r="D534">
        <v>15</v>
      </c>
      <c r="E534">
        <v>98</v>
      </c>
      <c r="F534">
        <v>90</v>
      </c>
      <c r="G534" t="s">
        <v>7</v>
      </c>
      <c r="H534" s="1" t="str">
        <f t="shared" si="40"/>
        <v>40-50</v>
      </c>
      <c r="I534" s="1" t="str">
        <f t="shared" si="41"/>
        <v>High</v>
      </c>
      <c r="J534" s="1" t="str">
        <f t="shared" si="42"/>
        <v>High</v>
      </c>
      <c r="K534" s="1" t="str">
        <f t="shared" si="43"/>
        <v>High</v>
      </c>
      <c r="L534" s="1" t="str">
        <f t="shared" si="44"/>
        <v>Normal</v>
      </c>
    </row>
    <row r="535" spans="1:12" x14ac:dyDescent="0.25">
      <c r="A535">
        <v>25</v>
      </c>
      <c r="B535">
        <v>140</v>
      </c>
      <c r="C535">
        <v>100</v>
      </c>
      <c r="D535">
        <v>7.5</v>
      </c>
      <c r="E535">
        <v>98</v>
      </c>
      <c r="F535">
        <v>80</v>
      </c>
      <c r="G535" t="s">
        <v>7</v>
      </c>
      <c r="H535" s="1" t="str">
        <f t="shared" si="40"/>
        <v>20-30</v>
      </c>
      <c r="I535" s="1" t="str">
        <f t="shared" si="41"/>
        <v>Critical</v>
      </c>
      <c r="J535" s="1" t="str">
        <f t="shared" si="42"/>
        <v>Normal</v>
      </c>
      <c r="K535" s="1" t="str">
        <f t="shared" si="43"/>
        <v>Normal</v>
      </c>
      <c r="L535" s="1" t="str">
        <f t="shared" si="44"/>
        <v>Normal</v>
      </c>
    </row>
    <row r="536" spans="1:12" x14ac:dyDescent="0.25">
      <c r="A536">
        <v>30</v>
      </c>
      <c r="B536">
        <v>120</v>
      </c>
      <c r="C536">
        <v>80</v>
      </c>
      <c r="D536">
        <v>7.5</v>
      </c>
      <c r="E536">
        <v>101</v>
      </c>
      <c r="F536">
        <v>76</v>
      </c>
      <c r="G536" t="s">
        <v>9</v>
      </c>
      <c r="H536" s="1" t="str">
        <f t="shared" si="40"/>
        <v>20-30</v>
      </c>
      <c r="I536" s="1" t="str">
        <f t="shared" si="41"/>
        <v>Pre-High</v>
      </c>
      <c r="J536" s="1" t="str">
        <f t="shared" si="42"/>
        <v>Normal</v>
      </c>
      <c r="K536" s="1" t="str">
        <f t="shared" si="43"/>
        <v>Normal</v>
      </c>
      <c r="L536" s="1" t="str">
        <f t="shared" si="44"/>
        <v>High</v>
      </c>
    </row>
    <row r="537" spans="1:12" x14ac:dyDescent="0.25">
      <c r="A537">
        <v>16</v>
      </c>
      <c r="B537">
        <v>70</v>
      </c>
      <c r="C537">
        <v>50</v>
      </c>
      <c r="D537">
        <v>7.5</v>
      </c>
      <c r="E537">
        <v>100</v>
      </c>
      <c r="F537">
        <v>70</v>
      </c>
      <c r="G537" t="s">
        <v>8</v>
      </c>
      <c r="H537" s="1" t="str">
        <f t="shared" si="40"/>
        <v>10-20</v>
      </c>
      <c r="I537" s="1" t="str">
        <f t="shared" si="41"/>
        <v>Low BP</v>
      </c>
      <c r="J537" s="1" t="str">
        <f t="shared" si="42"/>
        <v>Normal</v>
      </c>
      <c r="K537" s="1" t="str">
        <f t="shared" si="43"/>
        <v>Normal</v>
      </c>
      <c r="L537" s="1" t="str">
        <f t="shared" si="44"/>
        <v>High</v>
      </c>
    </row>
    <row r="538" spans="1:12" x14ac:dyDescent="0.25">
      <c r="A538">
        <v>16</v>
      </c>
      <c r="B538">
        <v>100</v>
      </c>
      <c r="C538">
        <v>70</v>
      </c>
      <c r="D538">
        <v>7.5</v>
      </c>
      <c r="E538">
        <v>98</v>
      </c>
      <c r="F538">
        <v>80</v>
      </c>
      <c r="G538" t="s">
        <v>8</v>
      </c>
      <c r="H538" s="1" t="str">
        <f t="shared" si="40"/>
        <v>10-20</v>
      </c>
      <c r="I538" s="1" t="str">
        <f t="shared" si="41"/>
        <v>Normal</v>
      </c>
      <c r="J538" s="1" t="str">
        <f t="shared" si="42"/>
        <v>Normal</v>
      </c>
      <c r="K538" s="1" t="str">
        <f t="shared" si="43"/>
        <v>Normal</v>
      </c>
      <c r="L538" s="1" t="str">
        <f t="shared" si="44"/>
        <v>Normal</v>
      </c>
    </row>
    <row r="539" spans="1:12" x14ac:dyDescent="0.25">
      <c r="A539">
        <v>19</v>
      </c>
      <c r="B539">
        <v>120</v>
      </c>
      <c r="C539">
        <v>75</v>
      </c>
      <c r="D539">
        <v>7.5</v>
      </c>
      <c r="E539">
        <v>98</v>
      </c>
      <c r="F539">
        <v>66</v>
      </c>
      <c r="G539" t="s">
        <v>8</v>
      </c>
      <c r="H539" s="1" t="str">
        <f t="shared" si="40"/>
        <v>10-20</v>
      </c>
      <c r="I539" s="1" t="str">
        <f t="shared" si="41"/>
        <v>Pre-High</v>
      </c>
      <c r="J539" s="1" t="str">
        <f t="shared" si="42"/>
        <v>Normal</v>
      </c>
      <c r="K539" s="1" t="str">
        <f t="shared" si="43"/>
        <v>Low</v>
      </c>
      <c r="L539" s="1" t="str">
        <f t="shared" si="44"/>
        <v>Normal</v>
      </c>
    </row>
    <row r="540" spans="1:12" x14ac:dyDescent="0.25">
      <c r="A540">
        <v>40</v>
      </c>
      <c r="B540">
        <v>160</v>
      </c>
      <c r="C540">
        <v>100</v>
      </c>
      <c r="D540">
        <v>19</v>
      </c>
      <c r="E540">
        <v>98</v>
      </c>
      <c r="F540">
        <v>77</v>
      </c>
      <c r="G540" t="s">
        <v>7</v>
      </c>
      <c r="H540" s="1" t="str">
        <f t="shared" si="40"/>
        <v>30-40</v>
      </c>
      <c r="I540" s="1" t="str">
        <f t="shared" si="41"/>
        <v>Critical</v>
      </c>
      <c r="J540" s="1" t="str">
        <f t="shared" si="42"/>
        <v>High</v>
      </c>
      <c r="K540" s="1" t="str">
        <f t="shared" si="43"/>
        <v>Normal</v>
      </c>
      <c r="L540" s="1" t="str">
        <f t="shared" si="44"/>
        <v>Normal</v>
      </c>
    </row>
    <row r="541" spans="1:12" x14ac:dyDescent="0.25">
      <c r="A541">
        <v>32</v>
      </c>
      <c r="B541">
        <v>140</v>
      </c>
      <c r="C541">
        <v>90</v>
      </c>
      <c r="D541">
        <v>18</v>
      </c>
      <c r="E541">
        <v>98</v>
      </c>
      <c r="F541">
        <v>88</v>
      </c>
      <c r="G541" t="s">
        <v>7</v>
      </c>
      <c r="H541" s="1" t="str">
        <f t="shared" si="40"/>
        <v>30-40</v>
      </c>
      <c r="I541" s="1" t="str">
        <f t="shared" si="41"/>
        <v>High</v>
      </c>
      <c r="J541" s="1" t="str">
        <f t="shared" si="42"/>
        <v>High</v>
      </c>
      <c r="K541" s="1" t="str">
        <f t="shared" si="43"/>
        <v>High</v>
      </c>
      <c r="L541" s="1" t="str">
        <f t="shared" si="44"/>
        <v>Normal</v>
      </c>
    </row>
    <row r="542" spans="1:12" x14ac:dyDescent="0.25">
      <c r="A542">
        <v>22</v>
      </c>
      <c r="B542">
        <v>100</v>
      </c>
      <c r="C542">
        <v>65</v>
      </c>
      <c r="D542">
        <v>7.5</v>
      </c>
      <c r="E542">
        <v>98</v>
      </c>
      <c r="F542">
        <v>70</v>
      </c>
      <c r="G542" t="s">
        <v>8</v>
      </c>
      <c r="H542" s="1" t="str">
        <f t="shared" si="40"/>
        <v>20-30</v>
      </c>
      <c r="I542" s="1" t="str">
        <f t="shared" si="41"/>
        <v>Normal</v>
      </c>
      <c r="J542" s="1" t="str">
        <f t="shared" si="42"/>
        <v>Normal</v>
      </c>
      <c r="K542" s="1" t="str">
        <f t="shared" si="43"/>
        <v>Normal</v>
      </c>
      <c r="L542" s="1" t="str">
        <f t="shared" si="44"/>
        <v>Normal</v>
      </c>
    </row>
    <row r="543" spans="1:12" x14ac:dyDescent="0.25">
      <c r="A543">
        <v>49</v>
      </c>
      <c r="B543">
        <v>120</v>
      </c>
      <c r="C543">
        <v>90</v>
      </c>
      <c r="D543">
        <v>7.5</v>
      </c>
      <c r="E543">
        <v>98</v>
      </c>
      <c r="F543">
        <v>77</v>
      </c>
      <c r="G543" t="s">
        <v>8</v>
      </c>
      <c r="H543" s="1" t="str">
        <f t="shared" si="40"/>
        <v>40-50</v>
      </c>
      <c r="I543" s="1" t="str">
        <f t="shared" si="41"/>
        <v>High</v>
      </c>
      <c r="J543" s="1" t="str">
        <f t="shared" si="42"/>
        <v>Normal</v>
      </c>
      <c r="K543" s="1" t="str">
        <f t="shared" si="43"/>
        <v>Normal</v>
      </c>
      <c r="L543" s="1" t="str">
        <f t="shared" si="44"/>
        <v>Normal</v>
      </c>
    </row>
    <row r="544" spans="1:12" x14ac:dyDescent="0.25">
      <c r="A544">
        <v>28</v>
      </c>
      <c r="B544">
        <v>90</v>
      </c>
      <c r="C544">
        <v>60</v>
      </c>
      <c r="D544">
        <v>7.5</v>
      </c>
      <c r="E544">
        <v>98</v>
      </c>
      <c r="F544">
        <v>82</v>
      </c>
      <c r="G544" t="s">
        <v>8</v>
      </c>
      <c r="H544" s="1" t="str">
        <f t="shared" si="40"/>
        <v>20-30</v>
      </c>
      <c r="I544" s="1" t="str">
        <f t="shared" si="41"/>
        <v>Normal</v>
      </c>
      <c r="J544" s="1" t="str">
        <f t="shared" si="42"/>
        <v>Normal</v>
      </c>
      <c r="K544" s="1" t="str">
        <f t="shared" si="43"/>
        <v>Normal</v>
      </c>
      <c r="L544" s="1" t="str">
        <f t="shared" si="44"/>
        <v>Normal</v>
      </c>
    </row>
    <row r="545" spans="1:12" x14ac:dyDescent="0.25">
      <c r="A545">
        <v>12</v>
      </c>
      <c r="B545">
        <v>90</v>
      </c>
      <c r="C545">
        <v>60</v>
      </c>
      <c r="D545">
        <v>7.5</v>
      </c>
      <c r="E545">
        <v>102</v>
      </c>
      <c r="F545">
        <v>66</v>
      </c>
      <c r="G545" t="s">
        <v>8</v>
      </c>
      <c r="H545" s="1" t="str">
        <f t="shared" si="40"/>
        <v>10-20</v>
      </c>
      <c r="I545" s="1" t="str">
        <f t="shared" si="41"/>
        <v>Normal</v>
      </c>
      <c r="J545" s="1" t="str">
        <f t="shared" si="42"/>
        <v>Normal</v>
      </c>
      <c r="K545" s="1" t="str">
        <f t="shared" si="43"/>
        <v>Low</v>
      </c>
      <c r="L545" s="1" t="str">
        <f t="shared" si="44"/>
        <v>High</v>
      </c>
    </row>
    <row r="546" spans="1:12" x14ac:dyDescent="0.25">
      <c r="A546">
        <v>20</v>
      </c>
      <c r="B546">
        <v>100</v>
      </c>
      <c r="C546">
        <v>90</v>
      </c>
      <c r="D546">
        <v>7.5</v>
      </c>
      <c r="E546">
        <v>98</v>
      </c>
      <c r="F546">
        <v>88</v>
      </c>
      <c r="G546" t="s">
        <v>8</v>
      </c>
      <c r="H546" s="1" t="str">
        <f t="shared" si="40"/>
        <v>10-20</v>
      </c>
      <c r="I546" s="1" t="str">
        <f t="shared" si="41"/>
        <v>High</v>
      </c>
      <c r="J546" s="1" t="str">
        <f t="shared" si="42"/>
        <v>Normal</v>
      </c>
      <c r="K546" s="1" t="str">
        <f t="shared" si="43"/>
        <v>High</v>
      </c>
      <c r="L546" s="1" t="str">
        <f t="shared" si="44"/>
        <v>Normal</v>
      </c>
    </row>
    <row r="547" spans="1:12" x14ac:dyDescent="0.25">
      <c r="A547">
        <v>23</v>
      </c>
      <c r="B547">
        <v>100</v>
      </c>
      <c r="C547">
        <v>85</v>
      </c>
      <c r="D547">
        <v>7.5</v>
      </c>
      <c r="E547">
        <v>98</v>
      </c>
      <c r="F547">
        <v>66</v>
      </c>
      <c r="G547" t="s">
        <v>8</v>
      </c>
      <c r="H547" s="1" t="str">
        <f t="shared" si="40"/>
        <v>20-30</v>
      </c>
      <c r="I547" s="1" t="str">
        <f t="shared" si="41"/>
        <v>Pre-High</v>
      </c>
      <c r="J547" s="1" t="str">
        <f t="shared" si="42"/>
        <v>Normal</v>
      </c>
      <c r="K547" s="1" t="str">
        <f t="shared" si="43"/>
        <v>Low</v>
      </c>
      <c r="L547" s="1" t="str">
        <f t="shared" si="44"/>
        <v>Normal</v>
      </c>
    </row>
    <row r="548" spans="1:12" x14ac:dyDescent="0.25">
      <c r="A548">
        <v>22</v>
      </c>
      <c r="B548">
        <v>120</v>
      </c>
      <c r="C548">
        <v>90</v>
      </c>
      <c r="D548">
        <v>7.5</v>
      </c>
      <c r="E548">
        <v>98</v>
      </c>
      <c r="F548">
        <v>82</v>
      </c>
      <c r="G548" t="s">
        <v>8</v>
      </c>
      <c r="H548" s="1" t="str">
        <f t="shared" si="40"/>
        <v>20-30</v>
      </c>
      <c r="I548" s="1" t="str">
        <f t="shared" si="41"/>
        <v>High</v>
      </c>
      <c r="J548" s="1" t="str">
        <f t="shared" si="42"/>
        <v>Normal</v>
      </c>
      <c r="K548" s="1" t="str">
        <f t="shared" si="43"/>
        <v>Normal</v>
      </c>
      <c r="L548" s="1" t="str">
        <f t="shared" si="44"/>
        <v>Normal</v>
      </c>
    </row>
    <row r="549" spans="1:12" x14ac:dyDescent="0.25">
      <c r="A549">
        <v>21</v>
      </c>
      <c r="B549">
        <v>120</v>
      </c>
      <c r="C549">
        <v>80</v>
      </c>
      <c r="D549">
        <v>7.5</v>
      </c>
      <c r="E549">
        <v>98</v>
      </c>
      <c r="F549">
        <v>77</v>
      </c>
      <c r="G549" t="s">
        <v>8</v>
      </c>
      <c r="H549" s="1" t="str">
        <f t="shared" si="40"/>
        <v>20-30</v>
      </c>
      <c r="I549" s="1" t="str">
        <f t="shared" si="41"/>
        <v>Pre-High</v>
      </c>
      <c r="J549" s="1" t="str">
        <f t="shared" si="42"/>
        <v>Normal</v>
      </c>
      <c r="K549" s="1" t="str">
        <f t="shared" si="43"/>
        <v>Normal</v>
      </c>
      <c r="L549" s="1" t="str">
        <f t="shared" si="44"/>
        <v>Normal</v>
      </c>
    </row>
    <row r="550" spans="1:12" x14ac:dyDescent="0.25">
      <c r="A550">
        <v>35</v>
      </c>
      <c r="B550">
        <v>140</v>
      </c>
      <c r="C550">
        <v>100</v>
      </c>
      <c r="D550">
        <v>7.5</v>
      </c>
      <c r="E550">
        <v>98</v>
      </c>
      <c r="F550">
        <v>66</v>
      </c>
      <c r="G550" t="s">
        <v>7</v>
      </c>
      <c r="H550" s="1" t="str">
        <f t="shared" si="40"/>
        <v>30-40</v>
      </c>
      <c r="I550" s="1" t="str">
        <f t="shared" si="41"/>
        <v>Critical</v>
      </c>
      <c r="J550" s="1" t="str">
        <f t="shared" si="42"/>
        <v>Normal</v>
      </c>
      <c r="K550" s="1" t="str">
        <f t="shared" si="43"/>
        <v>Low</v>
      </c>
      <c r="L550" s="1" t="str">
        <f t="shared" si="44"/>
        <v>Normal</v>
      </c>
    </row>
    <row r="551" spans="1:12" x14ac:dyDescent="0.25">
      <c r="A551">
        <v>54</v>
      </c>
      <c r="B551">
        <v>140</v>
      </c>
      <c r="C551">
        <v>100</v>
      </c>
      <c r="D551">
        <v>15</v>
      </c>
      <c r="E551">
        <v>98</v>
      </c>
      <c r="F551">
        <v>66</v>
      </c>
      <c r="G551" t="s">
        <v>7</v>
      </c>
      <c r="H551" s="1" t="str">
        <f t="shared" si="40"/>
        <v>50+</v>
      </c>
      <c r="I551" s="1" t="str">
        <f t="shared" si="41"/>
        <v>Critical</v>
      </c>
      <c r="J551" s="1" t="str">
        <f t="shared" si="42"/>
        <v>High</v>
      </c>
      <c r="K551" s="1" t="str">
        <f t="shared" si="43"/>
        <v>Low</v>
      </c>
      <c r="L551" s="1" t="str">
        <f t="shared" si="44"/>
        <v>Normal</v>
      </c>
    </row>
    <row r="552" spans="1:12" x14ac:dyDescent="0.25">
      <c r="A552">
        <v>40</v>
      </c>
      <c r="B552">
        <v>120</v>
      </c>
      <c r="C552">
        <v>95</v>
      </c>
      <c r="D552">
        <v>11</v>
      </c>
      <c r="E552">
        <v>98</v>
      </c>
      <c r="F552">
        <v>80</v>
      </c>
      <c r="G552" t="s">
        <v>9</v>
      </c>
      <c r="H552" s="1" t="str">
        <f t="shared" si="40"/>
        <v>30-40</v>
      </c>
      <c r="I552" s="1" t="str">
        <f t="shared" si="41"/>
        <v>High</v>
      </c>
      <c r="J552" s="1" t="str">
        <f t="shared" si="42"/>
        <v>Slightly High</v>
      </c>
      <c r="K552" s="1" t="str">
        <f t="shared" si="43"/>
        <v>Normal</v>
      </c>
      <c r="L552" s="1" t="str">
        <f t="shared" si="44"/>
        <v>Normal</v>
      </c>
    </row>
    <row r="553" spans="1:12" x14ac:dyDescent="0.25">
      <c r="A553">
        <v>21</v>
      </c>
      <c r="B553">
        <v>75</v>
      </c>
      <c r="C553">
        <v>50</v>
      </c>
      <c r="D553">
        <v>7.5</v>
      </c>
      <c r="E553">
        <v>98</v>
      </c>
      <c r="F553">
        <v>60</v>
      </c>
      <c r="G553" t="s">
        <v>8</v>
      </c>
      <c r="H553" s="1" t="str">
        <f t="shared" si="40"/>
        <v>20-30</v>
      </c>
      <c r="I553" s="1" t="str">
        <f t="shared" si="41"/>
        <v>Low BP</v>
      </c>
      <c r="J553" s="1" t="str">
        <f t="shared" si="42"/>
        <v>Normal</v>
      </c>
      <c r="K553" s="1" t="str">
        <f t="shared" si="43"/>
        <v>Low</v>
      </c>
      <c r="L553" s="1" t="str">
        <f t="shared" si="44"/>
        <v>Normal</v>
      </c>
    </row>
    <row r="554" spans="1:12" x14ac:dyDescent="0.25">
      <c r="A554">
        <v>12</v>
      </c>
      <c r="B554">
        <v>90</v>
      </c>
      <c r="C554">
        <v>60</v>
      </c>
      <c r="D554">
        <v>7.5</v>
      </c>
      <c r="E554">
        <v>102</v>
      </c>
      <c r="F554">
        <v>60</v>
      </c>
      <c r="G554" t="s">
        <v>8</v>
      </c>
      <c r="H554" s="1" t="str">
        <f t="shared" si="40"/>
        <v>10-20</v>
      </c>
      <c r="I554" s="1" t="str">
        <f t="shared" si="41"/>
        <v>Normal</v>
      </c>
      <c r="J554" s="1" t="str">
        <f t="shared" si="42"/>
        <v>Normal</v>
      </c>
      <c r="K554" s="1" t="str">
        <f t="shared" si="43"/>
        <v>Low</v>
      </c>
      <c r="L554" s="1" t="str">
        <f t="shared" si="44"/>
        <v>High</v>
      </c>
    </row>
    <row r="555" spans="1:12" x14ac:dyDescent="0.25">
      <c r="A555">
        <v>60</v>
      </c>
      <c r="B555">
        <v>120</v>
      </c>
      <c r="C555">
        <v>85</v>
      </c>
      <c r="D555">
        <v>15</v>
      </c>
      <c r="E555">
        <v>98</v>
      </c>
      <c r="F555">
        <v>60</v>
      </c>
      <c r="G555" t="s">
        <v>9</v>
      </c>
      <c r="H555" s="1" t="str">
        <f t="shared" si="40"/>
        <v>50+</v>
      </c>
      <c r="I555" s="1" t="str">
        <f t="shared" si="41"/>
        <v>Pre-High</v>
      </c>
      <c r="J555" s="1" t="str">
        <f t="shared" si="42"/>
        <v>High</v>
      </c>
      <c r="K555" s="1" t="str">
        <f t="shared" si="43"/>
        <v>Low</v>
      </c>
      <c r="L555" s="1" t="str">
        <f t="shared" si="44"/>
        <v>Normal</v>
      </c>
    </row>
    <row r="556" spans="1:12" x14ac:dyDescent="0.25">
      <c r="A556">
        <v>55</v>
      </c>
      <c r="B556">
        <v>140</v>
      </c>
      <c r="C556">
        <v>95</v>
      </c>
      <c r="D556">
        <v>19</v>
      </c>
      <c r="E556">
        <v>98</v>
      </c>
      <c r="F556">
        <v>77</v>
      </c>
      <c r="G556" t="s">
        <v>7</v>
      </c>
      <c r="H556" s="1" t="str">
        <f t="shared" si="40"/>
        <v>50+</v>
      </c>
      <c r="I556" s="1" t="str">
        <f t="shared" si="41"/>
        <v>High</v>
      </c>
      <c r="J556" s="1" t="str">
        <f t="shared" si="42"/>
        <v>High</v>
      </c>
      <c r="K556" s="1" t="str">
        <f t="shared" si="43"/>
        <v>Normal</v>
      </c>
      <c r="L556" s="1" t="str">
        <f t="shared" si="44"/>
        <v>Normal</v>
      </c>
    </row>
    <row r="557" spans="1:12" x14ac:dyDescent="0.25">
      <c r="A557">
        <v>50</v>
      </c>
      <c r="B557">
        <v>130</v>
      </c>
      <c r="C557">
        <v>100</v>
      </c>
      <c r="D557">
        <v>16</v>
      </c>
      <c r="E557">
        <v>98</v>
      </c>
      <c r="F557">
        <v>75</v>
      </c>
      <c r="G557" t="s">
        <v>9</v>
      </c>
      <c r="H557" s="1" t="str">
        <f t="shared" si="40"/>
        <v>40-50</v>
      </c>
      <c r="I557" s="1" t="str">
        <f t="shared" si="41"/>
        <v>Critical</v>
      </c>
      <c r="J557" s="1" t="str">
        <f t="shared" si="42"/>
        <v>High</v>
      </c>
      <c r="K557" s="1" t="str">
        <f t="shared" si="43"/>
        <v>Normal</v>
      </c>
      <c r="L557" s="1" t="str">
        <f t="shared" si="44"/>
        <v>Normal</v>
      </c>
    </row>
    <row r="558" spans="1:12" x14ac:dyDescent="0.25">
      <c r="A558">
        <v>60</v>
      </c>
      <c r="B558">
        <v>120</v>
      </c>
      <c r="C558">
        <v>80</v>
      </c>
      <c r="D558">
        <v>7.5</v>
      </c>
      <c r="E558">
        <v>98</v>
      </c>
      <c r="F558">
        <v>75</v>
      </c>
      <c r="G558" t="s">
        <v>8</v>
      </c>
      <c r="H558" s="1" t="str">
        <f t="shared" si="40"/>
        <v>50+</v>
      </c>
      <c r="I558" s="1" t="str">
        <f t="shared" si="41"/>
        <v>Pre-High</v>
      </c>
      <c r="J558" s="1" t="str">
        <f t="shared" si="42"/>
        <v>Normal</v>
      </c>
      <c r="K558" s="1" t="str">
        <f t="shared" si="43"/>
        <v>Normal</v>
      </c>
      <c r="L558" s="1" t="str">
        <f t="shared" si="44"/>
        <v>Normal</v>
      </c>
    </row>
    <row r="559" spans="1:12" x14ac:dyDescent="0.25">
      <c r="A559">
        <v>55</v>
      </c>
      <c r="B559">
        <v>100</v>
      </c>
      <c r="C559">
        <v>65</v>
      </c>
      <c r="D559">
        <v>7.5</v>
      </c>
      <c r="E559">
        <v>98</v>
      </c>
      <c r="F559">
        <v>66</v>
      </c>
      <c r="G559" t="s">
        <v>8</v>
      </c>
      <c r="H559" s="1" t="str">
        <f t="shared" si="40"/>
        <v>50+</v>
      </c>
      <c r="I559" s="1" t="str">
        <f t="shared" si="41"/>
        <v>Normal</v>
      </c>
      <c r="J559" s="1" t="str">
        <f t="shared" si="42"/>
        <v>Normal</v>
      </c>
      <c r="K559" s="1" t="str">
        <f t="shared" si="43"/>
        <v>Low</v>
      </c>
      <c r="L559" s="1" t="str">
        <f t="shared" si="44"/>
        <v>Normal</v>
      </c>
    </row>
    <row r="560" spans="1:12" x14ac:dyDescent="0.25">
      <c r="A560">
        <v>45</v>
      </c>
      <c r="B560">
        <v>120</v>
      </c>
      <c r="C560">
        <v>95</v>
      </c>
      <c r="D560">
        <v>7.5</v>
      </c>
      <c r="E560">
        <v>98</v>
      </c>
      <c r="F560">
        <v>66</v>
      </c>
      <c r="G560" t="s">
        <v>8</v>
      </c>
      <c r="H560" s="1" t="str">
        <f t="shared" si="40"/>
        <v>40-50</v>
      </c>
      <c r="I560" s="1" t="str">
        <f t="shared" si="41"/>
        <v>High</v>
      </c>
      <c r="J560" s="1" t="str">
        <f t="shared" si="42"/>
        <v>Normal</v>
      </c>
      <c r="K560" s="1" t="str">
        <f t="shared" si="43"/>
        <v>Low</v>
      </c>
      <c r="L560" s="1" t="str">
        <f t="shared" si="44"/>
        <v>Normal</v>
      </c>
    </row>
    <row r="561" spans="1:12" x14ac:dyDescent="0.25">
      <c r="A561">
        <v>35</v>
      </c>
      <c r="B561">
        <v>100</v>
      </c>
      <c r="C561">
        <v>70</v>
      </c>
      <c r="D561">
        <v>7.5</v>
      </c>
      <c r="E561">
        <v>98</v>
      </c>
      <c r="F561">
        <v>66</v>
      </c>
      <c r="G561" t="s">
        <v>8</v>
      </c>
      <c r="H561" s="1" t="str">
        <f t="shared" si="40"/>
        <v>30-40</v>
      </c>
      <c r="I561" s="1" t="str">
        <f t="shared" si="41"/>
        <v>Normal</v>
      </c>
      <c r="J561" s="1" t="str">
        <f t="shared" si="42"/>
        <v>Normal</v>
      </c>
      <c r="K561" s="1" t="str">
        <f t="shared" si="43"/>
        <v>Low</v>
      </c>
      <c r="L561" s="1" t="str">
        <f t="shared" si="44"/>
        <v>Normal</v>
      </c>
    </row>
    <row r="562" spans="1:12" x14ac:dyDescent="0.25">
      <c r="A562">
        <v>22</v>
      </c>
      <c r="B562">
        <v>120</v>
      </c>
      <c r="C562">
        <v>85</v>
      </c>
      <c r="D562">
        <v>7.5</v>
      </c>
      <c r="E562">
        <v>98</v>
      </c>
      <c r="F562">
        <v>88</v>
      </c>
      <c r="G562" t="s">
        <v>8</v>
      </c>
      <c r="H562" s="1" t="str">
        <f t="shared" si="40"/>
        <v>20-30</v>
      </c>
      <c r="I562" s="1" t="str">
        <f t="shared" si="41"/>
        <v>Pre-High</v>
      </c>
      <c r="J562" s="1" t="str">
        <f t="shared" si="42"/>
        <v>Normal</v>
      </c>
      <c r="K562" s="1" t="str">
        <f t="shared" si="43"/>
        <v>High</v>
      </c>
      <c r="L562" s="1" t="str">
        <f t="shared" si="44"/>
        <v>Normal</v>
      </c>
    </row>
    <row r="563" spans="1:12" x14ac:dyDescent="0.25">
      <c r="A563">
        <v>13</v>
      </c>
      <c r="B563">
        <v>90</v>
      </c>
      <c r="C563">
        <v>65</v>
      </c>
      <c r="D563">
        <v>7.5</v>
      </c>
      <c r="E563">
        <v>101</v>
      </c>
      <c r="F563">
        <v>80</v>
      </c>
      <c r="G563" t="s">
        <v>8</v>
      </c>
      <c r="H563" s="1" t="str">
        <f t="shared" si="40"/>
        <v>10-20</v>
      </c>
      <c r="I563" s="1" t="str">
        <f t="shared" si="41"/>
        <v>Normal</v>
      </c>
      <c r="J563" s="1" t="str">
        <f t="shared" si="42"/>
        <v>Normal</v>
      </c>
      <c r="K563" s="1" t="str">
        <f t="shared" si="43"/>
        <v>Normal</v>
      </c>
      <c r="L563" s="1" t="str">
        <f t="shared" si="44"/>
        <v>High</v>
      </c>
    </row>
    <row r="564" spans="1:12" x14ac:dyDescent="0.25">
      <c r="A564">
        <v>23</v>
      </c>
      <c r="B564">
        <v>120</v>
      </c>
      <c r="C564">
        <v>90</v>
      </c>
      <c r="D564">
        <v>7.5</v>
      </c>
      <c r="E564">
        <v>98</v>
      </c>
      <c r="F564">
        <v>60</v>
      </c>
      <c r="G564" t="s">
        <v>8</v>
      </c>
      <c r="H564" s="1" t="str">
        <f t="shared" si="40"/>
        <v>20-30</v>
      </c>
      <c r="I564" s="1" t="str">
        <f t="shared" si="41"/>
        <v>High</v>
      </c>
      <c r="J564" s="1" t="str">
        <f t="shared" si="42"/>
        <v>Normal</v>
      </c>
      <c r="K564" s="1" t="str">
        <f t="shared" si="43"/>
        <v>Low</v>
      </c>
      <c r="L564" s="1" t="str">
        <f t="shared" si="44"/>
        <v>Normal</v>
      </c>
    </row>
    <row r="565" spans="1:12" x14ac:dyDescent="0.25">
      <c r="A565">
        <v>17</v>
      </c>
      <c r="B565">
        <v>90</v>
      </c>
      <c r="C565">
        <v>65</v>
      </c>
      <c r="D565">
        <v>7.5</v>
      </c>
      <c r="E565">
        <v>103</v>
      </c>
      <c r="F565">
        <v>67</v>
      </c>
      <c r="G565" t="s">
        <v>8</v>
      </c>
      <c r="H565" s="1" t="str">
        <f t="shared" si="40"/>
        <v>10-20</v>
      </c>
      <c r="I565" s="1" t="str">
        <f t="shared" si="41"/>
        <v>Normal</v>
      </c>
      <c r="J565" s="1" t="str">
        <f t="shared" si="42"/>
        <v>Normal</v>
      </c>
      <c r="K565" s="1" t="str">
        <f t="shared" si="43"/>
        <v>Low</v>
      </c>
      <c r="L565" s="1" t="str">
        <f t="shared" si="44"/>
        <v>High</v>
      </c>
    </row>
    <row r="566" spans="1:12" x14ac:dyDescent="0.25">
      <c r="A566">
        <v>28</v>
      </c>
      <c r="B566">
        <v>115</v>
      </c>
      <c r="C566">
        <v>60</v>
      </c>
      <c r="D566">
        <v>7.5</v>
      </c>
      <c r="E566">
        <v>101</v>
      </c>
      <c r="F566">
        <v>86</v>
      </c>
      <c r="G566" t="s">
        <v>9</v>
      </c>
      <c r="H566" s="1" t="str">
        <f t="shared" si="40"/>
        <v>20-30</v>
      </c>
      <c r="I566" s="1" t="str">
        <f t="shared" si="41"/>
        <v>Normal</v>
      </c>
      <c r="J566" s="1" t="str">
        <f t="shared" si="42"/>
        <v>Normal</v>
      </c>
      <c r="K566" s="1" t="str">
        <f t="shared" si="43"/>
        <v>High</v>
      </c>
      <c r="L566" s="1" t="str">
        <f t="shared" si="44"/>
        <v>High</v>
      </c>
    </row>
    <row r="567" spans="1:12" x14ac:dyDescent="0.25">
      <c r="A567">
        <v>59</v>
      </c>
      <c r="B567">
        <v>120</v>
      </c>
      <c r="C567">
        <v>80</v>
      </c>
      <c r="D567">
        <v>7.5</v>
      </c>
      <c r="E567">
        <v>98</v>
      </c>
      <c r="F567">
        <v>70</v>
      </c>
      <c r="G567" t="s">
        <v>8</v>
      </c>
      <c r="H567" s="1" t="str">
        <f t="shared" si="40"/>
        <v>50+</v>
      </c>
      <c r="I567" s="1" t="str">
        <f t="shared" si="41"/>
        <v>Pre-High</v>
      </c>
      <c r="J567" s="1" t="str">
        <f t="shared" si="42"/>
        <v>Normal</v>
      </c>
      <c r="K567" s="1" t="str">
        <f t="shared" si="43"/>
        <v>Normal</v>
      </c>
      <c r="L567" s="1" t="str">
        <f t="shared" si="44"/>
        <v>Normal</v>
      </c>
    </row>
    <row r="568" spans="1:12" x14ac:dyDescent="0.25">
      <c r="A568">
        <v>29</v>
      </c>
      <c r="B568">
        <v>120</v>
      </c>
      <c r="C568">
        <v>70</v>
      </c>
      <c r="D568">
        <v>9</v>
      </c>
      <c r="E568">
        <v>98</v>
      </c>
      <c r="F568">
        <v>80</v>
      </c>
      <c r="G568" t="s">
        <v>7</v>
      </c>
      <c r="H568" s="1" t="str">
        <f t="shared" si="40"/>
        <v>20-30</v>
      </c>
      <c r="I568" s="1" t="str">
        <f t="shared" si="41"/>
        <v>Pre-High</v>
      </c>
      <c r="J568" s="1" t="str">
        <f t="shared" si="42"/>
        <v>Slightly High</v>
      </c>
      <c r="K568" s="1" t="str">
        <f t="shared" si="43"/>
        <v>Normal</v>
      </c>
      <c r="L568" s="1" t="str">
        <f t="shared" si="44"/>
        <v>Normal</v>
      </c>
    </row>
    <row r="569" spans="1:12" x14ac:dyDescent="0.25">
      <c r="A569">
        <v>23</v>
      </c>
      <c r="B569">
        <v>120</v>
      </c>
      <c r="C569">
        <v>80</v>
      </c>
      <c r="D569">
        <v>7.5</v>
      </c>
      <c r="E569">
        <v>98</v>
      </c>
      <c r="F569">
        <v>70</v>
      </c>
      <c r="G569" t="s">
        <v>8</v>
      </c>
      <c r="H569" s="1" t="str">
        <f t="shared" si="40"/>
        <v>20-30</v>
      </c>
      <c r="I569" s="1" t="str">
        <f t="shared" si="41"/>
        <v>Pre-High</v>
      </c>
      <c r="J569" s="1" t="str">
        <f t="shared" si="42"/>
        <v>Normal</v>
      </c>
      <c r="K569" s="1" t="str">
        <f t="shared" si="43"/>
        <v>Normal</v>
      </c>
      <c r="L569" s="1" t="str">
        <f t="shared" si="44"/>
        <v>Normal</v>
      </c>
    </row>
    <row r="570" spans="1:12" x14ac:dyDescent="0.25">
      <c r="A570">
        <v>31</v>
      </c>
      <c r="B570">
        <v>120</v>
      </c>
      <c r="C570">
        <v>60</v>
      </c>
      <c r="D570">
        <v>6.1</v>
      </c>
      <c r="E570">
        <v>98</v>
      </c>
      <c r="F570">
        <v>76</v>
      </c>
      <c r="G570" t="s">
        <v>9</v>
      </c>
      <c r="H570" s="1" t="str">
        <f t="shared" si="40"/>
        <v>30-40</v>
      </c>
      <c r="I570" s="1" t="str">
        <f t="shared" si="41"/>
        <v>Pre-High</v>
      </c>
      <c r="J570" s="1" t="str">
        <f t="shared" si="42"/>
        <v>Normal</v>
      </c>
      <c r="K570" s="1" t="str">
        <f t="shared" si="43"/>
        <v>Normal</v>
      </c>
      <c r="L570" s="1" t="str">
        <f t="shared" si="44"/>
        <v>Normal</v>
      </c>
    </row>
    <row r="571" spans="1:12" x14ac:dyDescent="0.25">
      <c r="A571">
        <v>23</v>
      </c>
      <c r="B571">
        <v>120</v>
      </c>
      <c r="C571">
        <v>80</v>
      </c>
      <c r="D571">
        <v>7.5</v>
      </c>
      <c r="E571">
        <v>98</v>
      </c>
      <c r="F571">
        <v>70</v>
      </c>
      <c r="G571" t="s">
        <v>9</v>
      </c>
      <c r="H571" s="1" t="str">
        <f t="shared" si="40"/>
        <v>20-30</v>
      </c>
      <c r="I571" s="1" t="str">
        <f t="shared" si="41"/>
        <v>Pre-High</v>
      </c>
      <c r="J571" s="1" t="str">
        <f t="shared" si="42"/>
        <v>Normal</v>
      </c>
      <c r="K571" s="1" t="str">
        <f t="shared" si="43"/>
        <v>Normal</v>
      </c>
      <c r="L571" s="1" t="str">
        <f t="shared" si="44"/>
        <v>Normal</v>
      </c>
    </row>
    <row r="572" spans="1:12" x14ac:dyDescent="0.25">
      <c r="A572">
        <v>29</v>
      </c>
      <c r="B572">
        <v>130</v>
      </c>
      <c r="C572">
        <v>70</v>
      </c>
      <c r="D572">
        <v>7.5</v>
      </c>
      <c r="E572">
        <v>98</v>
      </c>
      <c r="F572">
        <v>78</v>
      </c>
      <c r="G572" t="s">
        <v>9</v>
      </c>
      <c r="H572" s="1" t="str">
        <f t="shared" si="40"/>
        <v>20-30</v>
      </c>
      <c r="I572" s="1" t="str">
        <f t="shared" si="41"/>
        <v>Pre-High</v>
      </c>
      <c r="J572" s="1" t="str">
        <f t="shared" si="42"/>
        <v>Normal</v>
      </c>
      <c r="K572" s="1" t="str">
        <f t="shared" si="43"/>
        <v>Normal</v>
      </c>
      <c r="L572" s="1" t="str">
        <f t="shared" si="44"/>
        <v>Normal</v>
      </c>
    </row>
    <row r="573" spans="1:12" x14ac:dyDescent="0.25">
      <c r="A573">
        <v>17</v>
      </c>
      <c r="B573">
        <v>85</v>
      </c>
      <c r="C573">
        <v>60</v>
      </c>
      <c r="D573">
        <v>7.5</v>
      </c>
      <c r="E573">
        <v>102</v>
      </c>
      <c r="F573">
        <v>86</v>
      </c>
      <c r="G573" t="s">
        <v>8</v>
      </c>
      <c r="H573" s="1" t="str">
        <f t="shared" si="40"/>
        <v>10-20</v>
      </c>
      <c r="I573" s="1" t="str">
        <f t="shared" si="41"/>
        <v>Normal</v>
      </c>
      <c r="J573" s="1" t="str">
        <f t="shared" si="42"/>
        <v>Normal</v>
      </c>
      <c r="K573" s="1" t="str">
        <f t="shared" si="43"/>
        <v>High</v>
      </c>
      <c r="L573" s="1" t="str">
        <f t="shared" si="44"/>
        <v>High</v>
      </c>
    </row>
    <row r="574" spans="1:12" x14ac:dyDescent="0.25">
      <c r="A574">
        <v>32</v>
      </c>
      <c r="B574">
        <v>120</v>
      </c>
      <c r="C574">
        <v>90</v>
      </c>
      <c r="D574">
        <v>7.5</v>
      </c>
      <c r="E574">
        <v>98</v>
      </c>
      <c r="F574">
        <v>70</v>
      </c>
      <c r="G574" t="s">
        <v>8</v>
      </c>
      <c r="H574" s="1" t="str">
        <f t="shared" si="40"/>
        <v>30-40</v>
      </c>
      <c r="I574" s="1" t="str">
        <f t="shared" si="41"/>
        <v>High</v>
      </c>
      <c r="J574" s="1" t="str">
        <f t="shared" si="42"/>
        <v>Normal</v>
      </c>
      <c r="K574" s="1" t="str">
        <f t="shared" si="43"/>
        <v>Normal</v>
      </c>
      <c r="L574" s="1" t="str">
        <f t="shared" si="44"/>
        <v>Normal</v>
      </c>
    </row>
    <row r="575" spans="1:12" x14ac:dyDescent="0.25">
      <c r="A575">
        <v>42</v>
      </c>
      <c r="B575">
        <v>120</v>
      </c>
      <c r="C575">
        <v>80</v>
      </c>
      <c r="D575">
        <v>7.5</v>
      </c>
      <c r="E575">
        <v>98</v>
      </c>
      <c r="F575">
        <v>70</v>
      </c>
      <c r="G575" t="s">
        <v>8</v>
      </c>
      <c r="H575" s="1" t="str">
        <f t="shared" si="40"/>
        <v>40-50</v>
      </c>
      <c r="I575" s="1" t="str">
        <f t="shared" si="41"/>
        <v>Pre-High</v>
      </c>
      <c r="J575" s="1" t="str">
        <f t="shared" si="42"/>
        <v>Normal</v>
      </c>
      <c r="K575" s="1" t="str">
        <f t="shared" si="43"/>
        <v>Normal</v>
      </c>
      <c r="L575" s="1" t="str">
        <f t="shared" si="44"/>
        <v>Normal</v>
      </c>
    </row>
    <row r="576" spans="1:12" x14ac:dyDescent="0.25">
      <c r="A576">
        <v>23</v>
      </c>
      <c r="B576">
        <v>90</v>
      </c>
      <c r="C576">
        <v>60</v>
      </c>
      <c r="D576">
        <v>7.5</v>
      </c>
      <c r="E576">
        <v>98</v>
      </c>
      <c r="F576">
        <v>76</v>
      </c>
      <c r="G576" t="s">
        <v>8</v>
      </c>
      <c r="H576" s="1" t="str">
        <f t="shared" si="40"/>
        <v>20-30</v>
      </c>
      <c r="I576" s="1" t="str">
        <f t="shared" si="41"/>
        <v>Normal</v>
      </c>
      <c r="J576" s="1" t="str">
        <f t="shared" si="42"/>
        <v>Normal</v>
      </c>
      <c r="K576" s="1" t="str">
        <f t="shared" si="43"/>
        <v>Normal</v>
      </c>
      <c r="L576" s="1" t="str">
        <f t="shared" si="44"/>
        <v>Normal</v>
      </c>
    </row>
    <row r="577" spans="1:12" x14ac:dyDescent="0.25">
      <c r="A577">
        <v>19</v>
      </c>
      <c r="B577">
        <v>120</v>
      </c>
      <c r="C577">
        <v>80</v>
      </c>
      <c r="D577">
        <v>7</v>
      </c>
      <c r="E577">
        <v>98</v>
      </c>
      <c r="F577">
        <v>70</v>
      </c>
      <c r="G577" t="s">
        <v>8</v>
      </c>
      <c r="H577" s="1" t="str">
        <f t="shared" si="40"/>
        <v>10-20</v>
      </c>
      <c r="I577" s="1" t="str">
        <f t="shared" si="41"/>
        <v>Pre-High</v>
      </c>
      <c r="J577" s="1" t="str">
        <f t="shared" si="42"/>
        <v>Normal</v>
      </c>
      <c r="K577" s="1" t="str">
        <f t="shared" si="43"/>
        <v>Normal</v>
      </c>
      <c r="L577" s="1" t="str">
        <f t="shared" si="44"/>
        <v>Normal</v>
      </c>
    </row>
    <row r="578" spans="1:12" x14ac:dyDescent="0.25">
      <c r="A578">
        <v>15</v>
      </c>
      <c r="B578">
        <v>78</v>
      </c>
      <c r="C578">
        <v>49</v>
      </c>
      <c r="D578">
        <v>7.5</v>
      </c>
      <c r="E578">
        <v>98</v>
      </c>
      <c r="F578">
        <v>77</v>
      </c>
      <c r="G578" t="s">
        <v>8</v>
      </c>
      <c r="H578" s="1" t="str">
        <f t="shared" si="40"/>
        <v>10-20</v>
      </c>
      <c r="I578" s="1" t="str">
        <f t="shared" si="41"/>
        <v>Low BP</v>
      </c>
      <c r="J578" s="1" t="str">
        <f t="shared" si="42"/>
        <v>Normal</v>
      </c>
      <c r="K578" s="1" t="str">
        <f t="shared" si="43"/>
        <v>Normal</v>
      </c>
      <c r="L578" s="1" t="str">
        <f t="shared" si="44"/>
        <v>Normal</v>
      </c>
    </row>
    <row r="579" spans="1:12" x14ac:dyDescent="0.25">
      <c r="A579">
        <v>20</v>
      </c>
      <c r="B579">
        <v>120</v>
      </c>
      <c r="C579">
        <v>75</v>
      </c>
      <c r="D579">
        <v>7.5</v>
      </c>
      <c r="E579">
        <v>98</v>
      </c>
      <c r="F579">
        <v>70</v>
      </c>
      <c r="G579" t="s">
        <v>8</v>
      </c>
      <c r="H579" s="1" t="str">
        <f t="shared" ref="H579:H642" si="45">IF(A579&lt;=20,"10-20",
 IF(A579&lt;=30,"20-30",
 IF(A579&lt;=40,"30-40",
 IF(A579&lt;=50,"40-50","50+"))))</f>
        <v>10-20</v>
      </c>
      <c r="I579" s="1" t="str">
        <f t="shared" ref="I579:I642" si="46">IF(AND(B579&lt;90,C579&lt;60),"Low BP",
 IF(AND(B579&lt;120,C579&lt;80),"Normal",
 IF(AND(B579&lt;140,C579&lt;90),"Pre-High",
 IF(AND(B579&lt;160,C579&lt;100),"High","Critical"))))</f>
        <v>Pre-High</v>
      </c>
      <c r="J579" s="1" t="str">
        <f t="shared" ref="J579:J642" si="47">IF(D579&lt;8,"Normal",
 IF(D579&lt;12,"Slightly High","High"))</f>
        <v>Normal</v>
      </c>
      <c r="K579" s="1" t="str">
        <f t="shared" ref="K579:K642" si="48">IF(F579&lt;70,"Low",
 IF(F579&lt;=85,"Normal","High"))</f>
        <v>Normal</v>
      </c>
      <c r="L579" s="1" t="str">
        <f t="shared" ref="L579:L642" si="49">IF(E579&lt;97.5,"Low",
 IF(E579&lt;=99,"Normal","High"))</f>
        <v>Normal</v>
      </c>
    </row>
    <row r="580" spans="1:12" x14ac:dyDescent="0.25">
      <c r="A580">
        <v>48</v>
      </c>
      <c r="B580">
        <v>120</v>
      </c>
      <c r="C580">
        <v>80</v>
      </c>
      <c r="D580">
        <v>11</v>
      </c>
      <c r="E580">
        <v>98</v>
      </c>
      <c r="F580">
        <v>88</v>
      </c>
      <c r="G580" t="s">
        <v>7</v>
      </c>
      <c r="H580" s="1" t="str">
        <f t="shared" si="45"/>
        <v>40-50</v>
      </c>
      <c r="I580" s="1" t="str">
        <f t="shared" si="46"/>
        <v>Pre-High</v>
      </c>
      <c r="J580" s="1" t="str">
        <f t="shared" si="47"/>
        <v>Slightly High</v>
      </c>
      <c r="K580" s="1" t="str">
        <f t="shared" si="48"/>
        <v>High</v>
      </c>
      <c r="L580" s="1" t="str">
        <f t="shared" si="49"/>
        <v>Normal</v>
      </c>
    </row>
    <row r="581" spans="1:12" x14ac:dyDescent="0.25">
      <c r="A581">
        <v>15</v>
      </c>
      <c r="B581">
        <v>120</v>
      </c>
      <c r="C581">
        <v>80</v>
      </c>
      <c r="D581">
        <v>7.5</v>
      </c>
      <c r="E581">
        <v>98</v>
      </c>
      <c r="F581">
        <v>70</v>
      </c>
      <c r="G581" t="s">
        <v>8</v>
      </c>
      <c r="H581" s="1" t="str">
        <f t="shared" si="45"/>
        <v>10-20</v>
      </c>
      <c r="I581" s="1" t="str">
        <f t="shared" si="46"/>
        <v>Pre-High</v>
      </c>
      <c r="J581" s="1" t="str">
        <f t="shared" si="47"/>
        <v>Normal</v>
      </c>
      <c r="K581" s="1" t="str">
        <f t="shared" si="48"/>
        <v>Normal</v>
      </c>
      <c r="L581" s="1" t="str">
        <f t="shared" si="49"/>
        <v>Normal</v>
      </c>
    </row>
    <row r="582" spans="1:12" x14ac:dyDescent="0.25">
      <c r="A582">
        <v>24</v>
      </c>
      <c r="B582">
        <v>120</v>
      </c>
      <c r="C582">
        <v>80</v>
      </c>
      <c r="D582">
        <v>7.5</v>
      </c>
      <c r="E582">
        <v>98</v>
      </c>
      <c r="F582">
        <v>66</v>
      </c>
      <c r="G582" t="s">
        <v>8</v>
      </c>
      <c r="H582" s="1" t="str">
        <f t="shared" si="45"/>
        <v>20-30</v>
      </c>
      <c r="I582" s="1" t="str">
        <f t="shared" si="46"/>
        <v>Pre-High</v>
      </c>
      <c r="J582" s="1" t="str">
        <f t="shared" si="47"/>
        <v>Normal</v>
      </c>
      <c r="K582" s="1" t="str">
        <f t="shared" si="48"/>
        <v>Low</v>
      </c>
      <c r="L582" s="1" t="str">
        <f t="shared" si="49"/>
        <v>Normal</v>
      </c>
    </row>
    <row r="583" spans="1:12" x14ac:dyDescent="0.25">
      <c r="A583">
        <v>16</v>
      </c>
      <c r="B583">
        <v>100</v>
      </c>
      <c r="C583">
        <v>70</v>
      </c>
      <c r="D583">
        <v>7.5</v>
      </c>
      <c r="E583">
        <v>98</v>
      </c>
      <c r="F583">
        <v>80</v>
      </c>
      <c r="G583" t="s">
        <v>8</v>
      </c>
      <c r="H583" s="1" t="str">
        <f t="shared" si="45"/>
        <v>10-20</v>
      </c>
      <c r="I583" s="1" t="str">
        <f t="shared" si="46"/>
        <v>Normal</v>
      </c>
      <c r="J583" s="1" t="str">
        <f t="shared" si="47"/>
        <v>Normal</v>
      </c>
      <c r="K583" s="1" t="str">
        <f t="shared" si="48"/>
        <v>Normal</v>
      </c>
      <c r="L583" s="1" t="str">
        <f t="shared" si="49"/>
        <v>Normal</v>
      </c>
    </row>
    <row r="584" spans="1:12" x14ac:dyDescent="0.25">
      <c r="A584">
        <v>19</v>
      </c>
      <c r="B584">
        <v>120</v>
      </c>
      <c r="C584">
        <v>76</v>
      </c>
      <c r="D584">
        <v>7.5</v>
      </c>
      <c r="E584">
        <v>98</v>
      </c>
      <c r="F584">
        <v>66</v>
      </c>
      <c r="G584" t="s">
        <v>8</v>
      </c>
      <c r="H584" s="1" t="str">
        <f t="shared" si="45"/>
        <v>10-20</v>
      </c>
      <c r="I584" s="1" t="str">
        <f t="shared" si="46"/>
        <v>Pre-High</v>
      </c>
      <c r="J584" s="1" t="str">
        <f t="shared" si="47"/>
        <v>Normal</v>
      </c>
      <c r="K584" s="1" t="str">
        <f t="shared" si="48"/>
        <v>Low</v>
      </c>
      <c r="L584" s="1" t="str">
        <f t="shared" si="49"/>
        <v>Normal</v>
      </c>
    </row>
    <row r="585" spans="1:12" x14ac:dyDescent="0.25">
      <c r="A585">
        <v>40</v>
      </c>
      <c r="B585">
        <v>160</v>
      </c>
      <c r="C585">
        <v>100</v>
      </c>
      <c r="D585">
        <v>19</v>
      </c>
      <c r="E585">
        <v>98</v>
      </c>
      <c r="F585">
        <v>77</v>
      </c>
      <c r="G585" t="s">
        <v>7</v>
      </c>
      <c r="H585" s="1" t="str">
        <f t="shared" si="45"/>
        <v>30-40</v>
      </c>
      <c r="I585" s="1" t="str">
        <f t="shared" si="46"/>
        <v>Critical</v>
      </c>
      <c r="J585" s="1" t="str">
        <f t="shared" si="47"/>
        <v>High</v>
      </c>
      <c r="K585" s="1" t="str">
        <f t="shared" si="48"/>
        <v>Normal</v>
      </c>
      <c r="L585" s="1" t="str">
        <f t="shared" si="49"/>
        <v>Normal</v>
      </c>
    </row>
    <row r="586" spans="1:12" x14ac:dyDescent="0.25">
      <c r="A586">
        <v>32</v>
      </c>
      <c r="B586">
        <v>140</v>
      </c>
      <c r="C586">
        <v>90</v>
      </c>
      <c r="D586">
        <v>18</v>
      </c>
      <c r="E586">
        <v>98</v>
      </c>
      <c r="F586">
        <v>88</v>
      </c>
      <c r="G586" t="s">
        <v>7</v>
      </c>
      <c r="H586" s="1" t="str">
        <f t="shared" si="45"/>
        <v>30-40</v>
      </c>
      <c r="I586" s="1" t="str">
        <f t="shared" si="46"/>
        <v>High</v>
      </c>
      <c r="J586" s="1" t="str">
        <f t="shared" si="47"/>
        <v>High</v>
      </c>
      <c r="K586" s="1" t="str">
        <f t="shared" si="48"/>
        <v>High</v>
      </c>
      <c r="L586" s="1" t="str">
        <f t="shared" si="49"/>
        <v>Normal</v>
      </c>
    </row>
    <row r="587" spans="1:12" x14ac:dyDescent="0.25">
      <c r="A587">
        <v>22</v>
      </c>
      <c r="B587">
        <v>100</v>
      </c>
      <c r="C587">
        <v>65</v>
      </c>
      <c r="D587">
        <v>7.5</v>
      </c>
      <c r="E587">
        <v>98</v>
      </c>
      <c r="F587">
        <v>70</v>
      </c>
      <c r="G587" t="s">
        <v>9</v>
      </c>
      <c r="H587" s="1" t="str">
        <f t="shared" si="45"/>
        <v>20-30</v>
      </c>
      <c r="I587" s="1" t="str">
        <f t="shared" si="46"/>
        <v>Normal</v>
      </c>
      <c r="J587" s="1" t="str">
        <f t="shared" si="47"/>
        <v>Normal</v>
      </c>
      <c r="K587" s="1" t="str">
        <f t="shared" si="48"/>
        <v>Normal</v>
      </c>
      <c r="L587" s="1" t="str">
        <f t="shared" si="49"/>
        <v>Normal</v>
      </c>
    </row>
    <row r="588" spans="1:12" x14ac:dyDescent="0.25">
      <c r="A588">
        <v>49</v>
      </c>
      <c r="B588">
        <v>120</v>
      </c>
      <c r="C588">
        <v>90</v>
      </c>
      <c r="D588">
        <v>7.5</v>
      </c>
      <c r="E588">
        <v>98</v>
      </c>
      <c r="F588">
        <v>77</v>
      </c>
      <c r="G588" t="s">
        <v>9</v>
      </c>
      <c r="H588" s="1" t="str">
        <f t="shared" si="45"/>
        <v>40-50</v>
      </c>
      <c r="I588" s="1" t="str">
        <f t="shared" si="46"/>
        <v>High</v>
      </c>
      <c r="J588" s="1" t="str">
        <f t="shared" si="47"/>
        <v>Normal</v>
      </c>
      <c r="K588" s="1" t="str">
        <f t="shared" si="48"/>
        <v>Normal</v>
      </c>
      <c r="L588" s="1" t="str">
        <f t="shared" si="49"/>
        <v>Normal</v>
      </c>
    </row>
    <row r="589" spans="1:12" x14ac:dyDescent="0.25">
      <c r="A589">
        <v>28</v>
      </c>
      <c r="B589">
        <v>90</v>
      </c>
      <c r="C589">
        <v>60</v>
      </c>
      <c r="D589">
        <v>7.5</v>
      </c>
      <c r="E589">
        <v>98</v>
      </c>
      <c r="F589">
        <v>82</v>
      </c>
      <c r="G589" t="s">
        <v>9</v>
      </c>
      <c r="H589" s="1" t="str">
        <f t="shared" si="45"/>
        <v>20-30</v>
      </c>
      <c r="I589" s="1" t="str">
        <f t="shared" si="46"/>
        <v>Normal</v>
      </c>
      <c r="J589" s="1" t="str">
        <f t="shared" si="47"/>
        <v>Normal</v>
      </c>
      <c r="K589" s="1" t="str">
        <f t="shared" si="48"/>
        <v>Normal</v>
      </c>
      <c r="L589" s="1" t="str">
        <f t="shared" si="49"/>
        <v>Normal</v>
      </c>
    </row>
    <row r="590" spans="1:12" x14ac:dyDescent="0.25">
      <c r="A590">
        <v>12</v>
      </c>
      <c r="B590">
        <v>90</v>
      </c>
      <c r="C590">
        <v>60</v>
      </c>
      <c r="D590">
        <v>7.5</v>
      </c>
      <c r="E590">
        <v>102</v>
      </c>
      <c r="F590">
        <v>66</v>
      </c>
      <c r="G590" t="s">
        <v>9</v>
      </c>
      <c r="H590" s="1" t="str">
        <f t="shared" si="45"/>
        <v>10-20</v>
      </c>
      <c r="I590" s="1" t="str">
        <f t="shared" si="46"/>
        <v>Normal</v>
      </c>
      <c r="J590" s="1" t="str">
        <f t="shared" si="47"/>
        <v>Normal</v>
      </c>
      <c r="K590" s="1" t="str">
        <f t="shared" si="48"/>
        <v>Low</v>
      </c>
      <c r="L590" s="1" t="str">
        <f t="shared" si="49"/>
        <v>High</v>
      </c>
    </row>
    <row r="591" spans="1:12" x14ac:dyDescent="0.25">
      <c r="A591">
        <v>20</v>
      </c>
      <c r="B591">
        <v>100</v>
      </c>
      <c r="C591">
        <v>90</v>
      </c>
      <c r="D591">
        <v>7.5</v>
      </c>
      <c r="E591">
        <v>98</v>
      </c>
      <c r="F591">
        <v>88</v>
      </c>
      <c r="G591" t="s">
        <v>9</v>
      </c>
      <c r="H591" s="1" t="str">
        <f t="shared" si="45"/>
        <v>10-20</v>
      </c>
      <c r="I591" s="1" t="str">
        <f t="shared" si="46"/>
        <v>High</v>
      </c>
      <c r="J591" s="1" t="str">
        <f t="shared" si="47"/>
        <v>Normal</v>
      </c>
      <c r="K591" s="1" t="str">
        <f t="shared" si="48"/>
        <v>High</v>
      </c>
      <c r="L591" s="1" t="str">
        <f t="shared" si="49"/>
        <v>Normal</v>
      </c>
    </row>
    <row r="592" spans="1:12" x14ac:dyDescent="0.25">
      <c r="A592">
        <v>23</v>
      </c>
      <c r="B592">
        <v>100</v>
      </c>
      <c r="C592">
        <v>85</v>
      </c>
      <c r="D592">
        <v>7.5</v>
      </c>
      <c r="E592">
        <v>98</v>
      </c>
      <c r="F592">
        <v>66</v>
      </c>
      <c r="G592" t="s">
        <v>9</v>
      </c>
      <c r="H592" s="1" t="str">
        <f t="shared" si="45"/>
        <v>20-30</v>
      </c>
      <c r="I592" s="1" t="str">
        <f t="shared" si="46"/>
        <v>Pre-High</v>
      </c>
      <c r="J592" s="1" t="str">
        <f t="shared" si="47"/>
        <v>Normal</v>
      </c>
      <c r="K592" s="1" t="str">
        <f t="shared" si="48"/>
        <v>Low</v>
      </c>
      <c r="L592" s="1" t="str">
        <f t="shared" si="49"/>
        <v>Normal</v>
      </c>
    </row>
    <row r="593" spans="1:12" x14ac:dyDescent="0.25">
      <c r="A593">
        <v>22</v>
      </c>
      <c r="B593">
        <v>120</v>
      </c>
      <c r="C593">
        <v>90</v>
      </c>
      <c r="D593">
        <v>7.5</v>
      </c>
      <c r="E593">
        <v>98</v>
      </c>
      <c r="F593">
        <v>82</v>
      </c>
      <c r="G593" t="s">
        <v>9</v>
      </c>
      <c r="H593" s="1" t="str">
        <f t="shared" si="45"/>
        <v>20-30</v>
      </c>
      <c r="I593" s="1" t="str">
        <f t="shared" si="46"/>
        <v>High</v>
      </c>
      <c r="J593" s="1" t="str">
        <f t="shared" si="47"/>
        <v>Normal</v>
      </c>
      <c r="K593" s="1" t="str">
        <f t="shared" si="48"/>
        <v>Normal</v>
      </c>
      <c r="L593" s="1" t="str">
        <f t="shared" si="49"/>
        <v>Normal</v>
      </c>
    </row>
    <row r="594" spans="1:12" x14ac:dyDescent="0.25">
      <c r="A594">
        <v>21</v>
      </c>
      <c r="B594">
        <v>120</v>
      </c>
      <c r="C594">
        <v>80</v>
      </c>
      <c r="D594">
        <v>7.5</v>
      </c>
      <c r="E594">
        <v>98</v>
      </c>
      <c r="F594">
        <v>77</v>
      </c>
      <c r="G594" t="s">
        <v>9</v>
      </c>
      <c r="H594" s="1" t="str">
        <f t="shared" si="45"/>
        <v>20-30</v>
      </c>
      <c r="I594" s="1" t="str">
        <f t="shared" si="46"/>
        <v>Pre-High</v>
      </c>
      <c r="J594" s="1" t="str">
        <f t="shared" si="47"/>
        <v>Normal</v>
      </c>
      <c r="K594" s="1" t="str">
        <f t="shared" si="48"/>
        <v>Normal</v>
      </c>
      <c r="L594" s="1" t="str">
        <f t="shared" si="49"/>
        <v>Normal</v>
      </c>
    </row>
    <row r="595" spans="1:12" x14ac:dyDescent="0.25">
      <c r="A595">
        <v>35</v>
      </c>
      <c r="B595">
        <v>140</v>
      </c>
      <c r="C595">
        <v>100</v>
      </c>
      <c r="D595">
        <v>7.5</v>
      </c>
      <c r="E595">
        <v>98</v>
      </c>
      <c r="F595">
        <v>66</v>
      </c>
      <c r="G595" t="s">
        <v>7</v>
      </c>
      <c r="H595" s="1" t="str">
        <f t="shared" si="45"/>
        <v>30-40</v>
      </c>
      <c r="I595" s="1" t="str">
        <f t="shared" si="46"/>
        <v>Critical</v>
      </c>
      <c r="J595" s="1" t="str">
        <f t="shared" si="47"/>
        <v>Normal</v>
      </c>
      <c r="K595" s="1" t="str">
        <f t="shared" si="48"/>
        <v>Low</v>
      </c>
      <c r="L595" s="1" t="str">
        <f t="shared" si="49"/>
        <v>Normal</v>
      </c>
    </row>
    <row r="596" spans="1:12" x14ac:dyDescent="0.25">
      <c r="A596">
        <v>54</v>
      </c>
      <c r="B596">
        <v>140</v>
      </c>
      <c r="C596">
        <v>100</v>
      </c>
      <c r="D596">
        <v>15</v>
      </c>
      <c r="E596">
        <v>98</v>
      </c>
      <c r="F596">
        <v>66</v>
      </c>
      <c r="G596" t="s">
        <v>7</v>
      </c>
      <c r="H596" s="1" t="str">
        <f t="shared" si="45"/>
        <v>50+</v>
      </c>
      <c r="I596" s="1" t="str">
        <f t="shared" si="46"/>
        <v>Critical</v>
      </c>
      <c r="J596" s="1" t="str">
        <f t="shared" si="47"/>
        <v>High</v>
      </c>
      <c r="K596" s="1" t="str">
        <f t="shared" si="48"/>
        <v>Low</v>
      </c>
      <c r="L596" s="1" t="str">
        <f t="shared" si="49"/>
        <v>Normal</v>
      </c>
    </row>
    <row r="597" spans="1:12" x14ac:dyDescent="0.25">
      <c r="A597">
        <v>40</v>
      </c>
      <c r="B597">
        <v>120</v>
      </c>
      <c r="C597">
        <v>95</v>
      </c>
      <c r="D597">
        <v>11</v>
      </c>
      <c r="E597">
        <v>98</v>
      </c>
      <c r="F597">
        <v>80</v>
      </c>
      <c r="G597" t="s">
        <v>7</v>
      </c>
      <c r="H597" s="1" t="str">
        <f t="shared" si="45"/>
        <v>30-40</v>
      </c>
      <c r="I597" s="1" t="str">
        <f t="shared" si="46"/>
        <v>High</v>
      </c>
      <c r="J597" s="1" t="str">
        <f t="shared" si="47"/>
        <v>Slightly High</v>
      </c>
      <c r="K597" s="1" t="str">
        <f t="shared" si="48"/>
        <v>Normal</v>
      </c>
      <c r="L597" s="1" t="str">
        <f t="shared" si="49"/>
        <v>Normal</v>
      </c>
    </row>
    <row r="598" spans="1:12" x14ac:dyDescent="0.25">
      <c r="A598">
        <v>21</v>
      </c>
      <c r="B598">
        <v>75</v>
      </c>
      <c r="C598">
        <v>50</v>
      </c>
      <c r="D598">
        <v>7.5</v>
      </c>
      <c r="E598">
        <v>98</v>
      </c>
      <c r="F598">
        <v>60</v>
      </c>
      <c r="G598" t="s">
        <v>8</v>
      </c>
      <c r="H598" s="1" t="str">
        <f t="shared" si="45"/>
        <v>20-30</v>
      </c>
      <c r="I598" s="1" t="str">
        <f t="shared" si="46"/>
        <v>Low BP</v>
      </c>
      <c r="J598" s="1" t="str">
        <f t="shared" si="47"/>
        <v>Normal</v>
      </c>
      <c r="K598" s="1" t="str">
        <f t="shared" si="48"/>
        <v>Low</v>
      </c>
      <c r="L598" s="1" t="str">
        <f t="shared" si="49"/>
        <v>Normal</v>
      </c>
    </row>
    <row r="599" spans="1:12" x14ac:dyDescent="0.25">
      <c r="A599">
        <v>22</v>
      </c>
      <c r="B599">
        <v>90</v>
      </c>
      <c r="C599">
        <v>60</v>
      </c>
      <c r="D599">
        <v>7.5</v>
      </c>
      <c r="E599">
        <v>102</v>
      </c>
      <c r="F599">
        <v>60</v>
      </c>
      <c r="G599" t="s">
        <v>7</v>
      </c>
      <c r="H599" s="1" t="str">
        <f t="shared" si="45"/>
        <v>20-30</v>
      </c>
      <c r="I599" s="1" t="str">
        <f t="shared" si="46"/>
        <v>Normal</v>
      </c>
      <c r="J599" s="1" t="str">
        <f t="shared" si="47"/>
        <v>Normal</v>
      </c>
      <c r="K599" s="1" t="str">
        <f t="shared" si="48"/>
        <v>Low</v>
      </c>
      <c r="L599" s="1" t="str">
        <f t="shared" si="49"/>
        <v>High</v>
      </c>
    </row>
    <row r="600" spans="1:12" x14ac:dyDescent="0.25">
      <c r="A600">
        <v>40</v>
      </c>
      <c r="B600">
        <v>120</v>
      </c>
      <c r="C600">
        <v>85</v>
      </c>
      <c r="D600">
        <v>15</v>
      </c>
      <c r="E600">
        <v>98</v>
      </c>
      <c r="F600">
        <v>60</v>
      </c>
      <c r="G600" t="s">
        <v>7</v>
      </c>
      <c r="H600" s="1" t="str">
        <f t="shared" si="45"/>
        <v>30-40</v>
      </c>
      <c r="I600" s="1" t="str">
        <f t="shared" si="46"/>
        <v>Pre-High</v>
      </c>
      <c r="J600" s="1" t="str">
        <f t="shared" si="47"/>
        <v>High</v>
      </c>
      <c r="K600" s="1" t="str">
        <f t="shared" si="48"/>
        <v>Low</v>
      </c>
      <c r="L600" s="1" t="str">
        <f t="shared" si="49"/>
        <v>Normal</v>
      </c>
    </row>
    <row r="601" spans="1:12" x14ac:dyDescent="0.25">
      <c r="A601">
        <v>55</v>
      </c>
      <c r="B601">
        <v>140</v>
      </c>
      <c r="C601">
        <v>95</v>
      </c>
      <c r="D601">
        <v>19</v>
      </c>
      <c r="E601">
        <v>98</v>
      </c>
      <c r="F601">
        <v>77</v>
      </c>
      <c r="G601" t="s">
        <v>7</v>
      </c>
      <c r="H601" s="1" t="str">
        <f t="shared" si="45"/>
        <v>50+</v>
      </c>
      <c r="I601" s="1" t="str">
        <f t="shared" si="46"/>
        <v>High</v>
      </c>
      <c r="J601" s="1" t="str">
        <f t="shared" si="47"/>
        <v>High</v>
      </c>
      <c r="K601" s="1" t="str">
        <f t="shared" si="48"/>
        <v>Normal</v>
      </c>
      <c r="L601" s="1" t="str">
        <f t="shared" si="49"/>
        <v>Normal</v>
      </c>
    </row>
    <row r="602" spans="1:12" x14ac:dyDescent="0.25">
      <c r="A602">
        <v>50</v>
      </c>
      <c r="B602">
        <v>130</v>
      </c>
      <c r="C602">
        <v>100</v>
      </c>
      <c r="D602">
        <v>16</v>
      </c>
      <c r="E602">
        <v>98</v>
      </c>
      <c r="F602">
        <v>75</v>
      </c>
      <c r="G602" t="s">
        <v>7</v>
      </c>
      <c r="H602" s="1" t="str">
        <f t="shared" si="45"/>
        <v>40-50</v>
      </c>
      <c r="I602" s="1" t="str">
        <f t="shared" si="46"/>
        <v>Critical</v>
      </c>
      <c r="J602" s="1" t="str">
        <f t="shared" si="47"/>
        <v>High</v>
      </c>
      <c r="K602" s="1" t="str">
        <f t="shared" si="48"/>
        <v>Normal</v>
      </c>
      <c r="L602" s="1" t="str">
        <f t="shared" si="49"/>
        <v>Normal</v>
      </c>
    </row>
    <row r="603" spans="1:12" x14ac:dyDescent="0.25">
      <c r="A603">
        <v>60</v>
      </c>
      <c r="B603">
        <v>120</v>
      </c>
      <c r="C603">
        <v>80</v>
      </c>
      <c r="D603">
        <v>7.5</v>
      </c>
      <c r="E603">
        <v>98</v>
      </c>
      <c r="F603">
        <v>75</v>
      </c>
      <c r="G603" t="s">
        <v>9</v>
      </c>
      <c r="H603" s="1" t="str">
        <f t="shared" si="45"/>
        <v>50+</v>
      </c>
      <c r="I603" s="1" t="str">
        <f t="shared" si="46"/>
        <v>Pre-High</v>
      </c>
      <c r="J603" s="1" t="str">
        <f t="shared" si="47"/>
        <v>Normal</v>
      </c>
      <c r="K603" s="1" t="str">
        <f t="shared" si="48"/>
        <v>Normal</v>
      </c>
      <c r="L603" s="1" t="str">
        <f t="shared" si="49"/>
        <v>Normal</v>
      </c>
    </row>
    <row r="604" spans="1:12" x14ac:dyDescent="0.25">
      <c r="A604">
        <v>40</v>
      </c>
      <c r="B604">
        <v>120</v>
      </c>
      <c r="C604">
        <v>85</v>
      </c>
      <c r="D604">
        <v>15</v>
      </c>
      <c r="E604">
        <v>98</v>
      </c>
      <c r="F604">
        <v>60</v>
      </c>
      <c r="G604" t="s">
        <v>7</v>
      </c>
      <c r="H604" s="1" t="str">
        <f t="shared" si="45"/>
        <v>30-40</v>
      </c>
      <c r="I604" s="1" t="str">
        <f t="shared" si="46"/>
        <v>Pre-High</v>
      </c>
      <c r="J604" s="1" t="str">
        <f t="shared" si="47"/>
        <v>High</v>
      </c>
      <c r="K604" s="1" t="str">
        <f t="shared" si="48"/>
        <v>Low</v>
      </c>
      <c r="L604" s="1" t="str">
        <f t="shared" si="49"/>
        <v>Normal</v>
      </c>
    </row>
    <row r="605" spans="1:12" x14ac:dyDescent="0.25">
      <c r="A605">
        <v>55</v>
      </c>
      <c r="B605">
        <v>140</v>
      </c>
      <c r="C605">
        <v>95</v>
      </c>
      <c r="D605">
        <v>19</v>
      </c>
      <c r="E605">
        <v>98</v>
      </c>
      <c r="F605">
        <v>77</v>
      </c>
      <c r="G605" t="s">
        <v>7</v>
      </c>
      <c r="H605" s="1" t="str">
        <f t="shared" si="45"/>
        <v>50+</v>
      </c>
      <c r="I605" s="1" t="str">
        <f t="shared" si="46"/>
        <v>High</v>
      </c>
      <c r="J605" s="1" t="str">
        <f t="shared" si="47"/>
        <v>High</v>
      </c>
      <c r="K605" s="1" t="str">
        <f t="shared" si="48"/>
        <v>Normal</v>
      </c>
      <c r="L605" s="1" t="str">
        <f t="shared" si="49"/>
        <v>Normal</v>
      </c>
    </row>
    <row r="606" spans="1:12" x14ac:dyDescent="0.25">
      <c r="A606">
        <v>50</v>
      </c>
      <c r="B606">
        <v>130</v>
      </c>
      <c r="C606">
        <v>100</v>
      </c>
      <c r="D606">
        <v>16</v>
      </c>
      <c r="E606">
        <v>98</v>
      </c>
      <c r="F606">
        <v>75</v>
      </c>
      <c r="G606" t="s">
        <v>9</v>
      </c>
      <c r="H606" s="1" t="str">
        <f t="shared" si="45"/>
        <v>40-50</v>
      </c>
      <c r="I606" s="1" t="str">
        <f t="shared" si="46"/>
        <v>Critical</v>
      </c>
      <c r="J606" s="1" t="str">
        <f t="shared" si="47"/>
        <v>High</v>
      </c>
      <c r="K606" s="1" t="str">
        <f t="shared" si="48"/>
        <v>Normal</v>
      </c>
      <c r="L606" s="1" t="str">
        <f t="shared" si="49"/>
        <v>Normal</v>
      </c>
    </row>
    <row r="607" spans="1:12" x14ac:dyDescent="0.25">
      <c r="A607">
        <v>41</v>
      </c>
      <c r="B607">
        <v>120</v>
      </c>
      <c r="C607">
        <v>80</v>
      </c>
      <c r="D607">
        <v>7.5</v>
      </c>
      <c r="E607">
        <v>98</v>
      </c>
      <c r="F607">
        <v>75</v>
      </c>
      <c r="G607" t="s">
        <v>8</v>
      </c>
      <c r="H607" s="1" t="str">
        <f t="shared" si="45"/>
        <v>40-50</v>
      </c>
      <c r="I607" s="1" t="str">
        <f t="shared" si="46"/>
        <v>Pre-High</v>
      </c>
      <c r="J607" s="1" t="str">
        <f t="shared" si="47"/>
        <v>Normal</v>
      </c>
      <c r="K607" s="1" t="str">
        <f t="shared" si="48"/>
        <v>Normal</v>
      </c>
      <c r="L607" s="1" t="str">
        <f t="shared" si="49"/>
        <v>Normal</v>
      </c>
    </row>
    <row r="608" spans="1:12" x14ac:dyDescent="0.25">
      <c r="A608">
        <v>55</v>
      </c>
      <c r="B608">
        <v>100</v>
      </c>
      <c r="C608">
        <v>65</v>
      </c>
      <c r="D608">
        <v>7.5</v>
      </c>
      <c r="E608">
        <v>98</v>
      </c>
      <c r="F608">
        <v>66</v>
      </c>
      <c r="G608" t="s">
        <v>8</v>
      </c>
      <c r="H608" s="1" t="str">
        <f t="shared" si="45"/>
        <v>50+</v>
      </c>
      <c r="I608" s="1" t="str">
        <f t="shared" si="46"/>
        <v>Normal</v>
      </c>
      <c r="J608" s="1" t="str">
        <f t="shared" si="47"/>
        <v>Normal</v>
      </c>
      <c r="K608" s="1" t="str">
        <f t="shared" si="48"/>
        <v>Low</v>
      </c>
      <c r="L608" s="1" t="str">
        <f t="shared" si="49"/>
        <v>Normal</v>
      </c>
    </row>
    <row r="609" spans="1:12" x14ac:dyDescent="0.25">
      <c r="A609">
        <v>45</v>
      </c>
      <c r="B609">
        <v>120</v>
      </c>
      <c r="C609">
        <v>95</v>
      </c>
      <c r="D609">
        <v>7.5</v>
      </c>
      <c r="E609">
        <v>98</v>
      </c>
      <c r="F609">
        <v>66</v>
      </c>
      <c r="G609" t="s">
        <v>8</v>
      </c>
      <c r="H609" s="1" t="str">
        <f t="shared" si="45"/>
        <v>40-50</v>
      </c>
      <c r="I609" s="1" t="str">
        <f t="shared" si="46"/>
        <v>High</v>
      </c>
      <c r="J609" s="1" t="str">
        <f t="shared" si="47"/>
        <v>Normal</v>
      </c>
      <c r="K609" s="1" t="str">
        <f t="shared" si="48"/>
        <v>Low</v>
      </c>
      <c r="L609" s="1" t="str">
        <f t="shared" si="49"/>
        <v>Normal</v>
      </c>
    </row>
    <row r="610" spans="1:12" x14ac:dyDescent="0.25">
      <c r="A610">
        <v>35</v>
      </c>
      <c r="B610">
        <v>100</v>
      </c>
      <c r="C610">
        <v>70</v>
      </c>
      <c r="D610">
        <v>7.5</v>
      </c>
      <c r="E610">
        <v>98</v>
      </c>
      <c r="F610">
        <v>66</v>
      </c>
      <c r="G610" t="s">
        <v>8</v>
      </c>
      <c r="H610" s="1" t="str">
        <f t="shared" si="45"/>
        <v>30-40</v>
      </c>
      <c r="I610" s="1" t="str">
        <f t="shared" si="46"/>
        <v>Normal</v>
      </c>
      <c r="J610" s="1" t="str">
        <f t="shared" si="47"/>
        <v>Normal</v>
      </c>
      <c r="K610" s="1" t="str">
        <f t="shared" si="48"/>
        <v>Low</v>
      </c>
      <c r="L610" s="1" t="str">
        <f t="shared" si="49"/>
        <v>Normal</v>
      </c>
    </row>
    <row r="611" spans="1:12" x14ac:dyDescent="0.25">
      <c r="A611">
        <v>22</v>
      </c>
      <c r="B611">
        <v>120</v>
      </c>
      <c r="C611">
        <v>85</v>
      </c>
      <c r="D611">
        <v>7.5</v>
      </c>
      <c r="E611">
        <v>98</v>
      </c>
      <c r="F611">
        <v>88</v>
      </c>
      <c r="G611" t="s">
        <v>8</v>
      </c>
      <c r="H611" s="1" t="str">
        <f t="shared" si="45"/>
        <v>20-30</v>
      </c>
      <c r="I611" s="1" t="str">
        <f t="shared" si="46"/>
        <v>Pre-High</v>
      </c>
      <c r="J611" s="1" t="str">
        <f t="shared" si="47"/>
        <v>Normal</v>
      </c>
      <c r="K611" s="1" t="str">
        <f t="shared" si="48"/>
        <v>High</v>
      </c>
      <c r="L611" s="1" t="str">
        <f t="shared" si="49"/>
        <v>Normal</v>
      </c>
    </row>
    <row r="612" spans="1:12" x14ac:dyDescent="0.25">
      <c r="A612">
        <v>13</v>
      </c>
      <c r="B612">
        <v>90</v>
      </c>
      <c r="C612">
        <v>65</v>
      </c>
      <c r="D612">
        <v>7.5</v>
      </c>
      <c r="E612">
        <v>101</v>
      </c>
      <c r="F612">
        <v>80</v>
      </c>
      <c r="G612" t="s">
        <v>7</v>
      </c>
      <c r="H612" s="1" t="str">
        <f t="shared" si="45"/>
        <v>10-20</v>
      </c>
      <c r="I612" s="1" t="str">
        <f t="shared" si="46"/>
        <v>Normal</v>
      </c>
      <c r="J612" s="1" t="str">
        <f t="shared" si="47"/>
        <v>Normal</v>
      </c>
      <c r="K612" s="1" t="str">
        <f t="shared" si="48"/>
        <v>Normal</v>
      </c>
      <c r="L612" s="1" t="str">
        <f t="shared" si="49"/>
        <v>High</v>
      </c>
    </row>
    <row r="613" spans="1:12" x14ac:dyDescent="0.25">
      <c r="A613">
        <v>23</v>
      </c>
      <c r="B613">
        <v>120</v>
      </c>
      <c r="C613">
        <v>90</v>
      </c>
      <c r="D613">
        <v>7.5</v>
      </c>
      <c r="E613">
        <v>98</v>
      </c>
      <c r="F613">
        <v>60</v>
      </c>
      <c r="G613" t="s">
        <v>8</v>
      </c>
      <c r="H613" s="1" t="str">
        <f t="shared" si="45"/>
        <v>20-30</v>
      </c>
      <c r="I613" s="1" t="str">
        <f t="shared" si="46"/>
        <v>High</v>
      </c>
      <c r="J613" s="1" t="str">
        <f t="shared" si="47"/>
        <v>Normal</v>
      </c>
      <c r="K613" s="1" t="str">
        <f t="shared" si="48"/>
        <v>Low</v>
      </c>
      <c r="L613" s="1" t="str">
        <f t="shared" si="49"/>
        <v>Normal</v>
      </c>
    </row>
    <row r="614" spans="1:12" x14ac:dyDescent="0.25">
      <c r="A614">
        <v>17</v>
      </c>
      <c r="B614">
        <v>90</v>
      </c>
      <c r="C614">
        <v>65</v>
      </c>
      <c r="D614">
        <v>7.5</v>
      </c>
      <c r="E614">
        <v>103</v>
      </c>
      <c r="F614">
        <v>67</v>
      </c>
      <c r="G614" t="s">
        <v>9</v>
      </c>
      <c r="H614" s="1" t="str">
        <f t="shared" si="45"/>
        <v>10-20</v>
      </c>
      <c r="I614" s="1" t="str">
        <f t="shared" si="46"/>
        <v>Normal</v>
      </c>
      <c r="J614" s="1" t="str">
        <f t="shared" si="47"/>
        <v>Normal</v>
      </c>
      <c r="K614" s="1" t="str">
        <f t="shared" si="48"/>
        <v>Low</v>
      </c>
      <c r="L614" s="1" t="str">
        <f t="shared" si="49"/>
        <v>High</v>
      </c>
    </row>
    <row r="615" spans="1:12" x14ac:dyDescent="0.25">
      <c r="A615">
        <v>27</v>
      </c>
      <c r="B615">
        <v>135</v>
      </c>
      <c r="C615">
        <v>60</v>
      </c>
      <c r="D615">
        <v>7.5</v>
      </c>
      <c r="E615">
        <v>101</v>
      </c>
      <c r="F615">
        <v>86</v>
      </c>
      <c r="G615" t="s">
        <v>7</v>
      </c>
      <c r="H615" s="1" t="str">
        <f t="shared" si="45"/>
        <v>20-30</v>
      </c>
      <c r="I615" s="1" t="str">
        <f t="shared" si="46"/>
        <v>Pre-High</v>
      </c>
      <c r="J615" s="1" t="str">
        <f t="shared" si="47"/>
        <v>Normal</v>
      </c>
      <c r="K615" s="1" t="str">
        <f t="shared" si="48"/>
        <v>High</v>
      </c>
      <c r="L615" s="1" t="str">
        <f t="shared" si="49"/>
        <v>High</v>
      </c>
    </row>
    <row r="616" spans="1:12" x14ac:dyDescent="0.25">
      <c r="A616">
        <v>50</v>
      </c>
      <c r="B616">
        <v>120</v>
      </c>
      <c r="C616">
        <v>80</v>
      </c>
      <c r="D616">
        <v>15</v>
      </c>
      <c r="E616">
        <v>98</v>
      </c>
      <c r="F616">
        <v>70</v>
      </c>
      <c r="G616" t="s">
        <v>7</v>
      </c>
      <c r="H616" s="1" t="str">
        <f t="shared" si="45"/>
        <v>40-50</v>
      </c>
      <c r="I616" s="1" t="str">
        <f t="shared" si="46"/>
        <v>Pre-High</v>
      </c>
      <c r="J616" s="1" t="str">
        <f t="shared" si="47"/>
        <v>High</v>
      </c>
      <c r="K616" s="1" t="str">
        <f t="shared" si="48"/>
        <v>Normal</v>
      </c>
      <c r="L616" s="1" t="str">
        <f t="shared" si="49"/>
        <v>Normal</v>
      </c>
    </row>
    <row r="617" spans="1:12" x14ac:dyDescent="0.25">
      <c r="A617">
        <v>34</v>
      </c>
      <c r="B617">
        <v>110</v>
      </c>
      <c r="C617">
        <v>70</v>
      </c>
      <c r="D617">
        <v>7</v>
      </c>
      <c r="E617">
        <v>98</v>
      </c>
      <c r="F617">
        <v>80</v>
      </c>
      <c r="G617" t="s">
        <v>7</v>
      </c>
      <c r="H617" s="1" t="str">
        <f t="shared" si="45"/>
        <v>30-40</v>
      </c>
      <c r="I617" s="1" t="str">
        <f t="shared" si="46"/>
        <v>Normal</v>
      </c>
      <c r="J617" s="1" t="str">
        <f t="shared" si="47"/>
        <v>Normal</v>
      </c>
      <c r="K617" s="1" t="str">
        <f t="shared" si="48"/>
        <v>Normal</v>
      </c>
      <c r="L617" s="1" t="str">
        <f t="shared" si="49"/>
        <v>Normal</v>
      </c>
    </row>
    <row r="618" spans="1:12" x14ac:dyDescent="0.25">
      <c r="A618">
        <v>32</v>
      </c>
      <c r="B618">
        <v>120</v>
      </c>
      <c r="C618">
        <v>80</v>
      </c>
      <c r="D618">
        <v>7.5</v>
      </c>
      <c r="E618">
        <v>98</v>
      </c>
      <c r="F618">
        <v>70</v>
      </c>
      <c r="G618" t="s">
        <v>8</v>
      </c>
      <c r="H618" s="1" t="str">
        <f t="shared" si="45"/>
        <v>30-40</v>
      </c>
      <c r="I618" s="1" t="str">
        <f t="shared" si="46"/>
        <v>Pre-High</v>
      </c>
      <c r="J618" s="1" t="str">
        <f t="shared" si="47"/>
        <v>Normal</v>
      </c>
      <c r="K618" s="1" t="str">
        <f t="shared" si="48"/>
        <v>Normal</v>
      </c>
      <c r="L618" s="1" t="str">
        <f t="shared" si="49"/>
        <v>Normal</v>
      </c>
    </row>
    <row r="619" spans="1:12" x14ac:dyDescent="0.25">
      <c r="A619">
        <v>31</v>
      </c>
      <c r="B619">
        <v>120</v>
      </c>
      <c r="C619">
        <v>60</v>
      </c>
      <c r="D619">
        <v>6.1</v>
      </c>
      <c r="E619">
        <v>98</v>
      </c>
      <c r="F619">
        <v>76</v>
      </c>
      <c r="G619" t="s">
        <v>8</v>
      </c>
      <c r="H619" s="1" t="str">
        <f t="shared" si="45"/>
        <v>30-40</v>
      </c>
      <c r="I619" s="1" t="str">
        <f t="shared" si="46"/>
        <v>Pre-High</v>
      </c>
      <c r="J619" s="1" t="str">
        <f t="shared" si="47"/>
        <v>Normal</v>
      </c>
      <c r="K619" s="1" t="str">
        <f t="shared" si="48"/>
        <v>Normal</v>
      </c>
      <c r="L619" s="1" t="str">
        <f t="shared" si="49"/>
        <v>Normal</v>
      </c>
    </row>
    <row r="620" spans="1:12" x14ac:dyDescent="0.25">
      <c r="A620">
        <v>23</v>
      </c>
      <c r="B620">
        <v>120</v>
      </c>
      <c r="C620">
        <v>90</v>
      </c>
      <c r="D620">
        <v>7.5</v>
      </c>
      <c r="E620">
        <v>98</v>
      </c>
      <c r="F620">
        <v>70</v>
      </c>
      <c r="G620" t="s">
        <v>8</v>
      </c>
      <c r="H620" s="1" t="str">
        <f t="shared" si="45"/>
        <v>20-30</v>
      </c>
      <c r="I620" s="1" t="str">
        <f t="shared" si="46"/>
        <v>High</v>
      </c>
      <c r="J620" s="1" t="str">
        <f t="shared" si="47"/>
        <v>Normal</v>
      </c>
      <c r="K620" s="1" t="str">
        <f t="shared" si="48"/>
        <v>Normal</v>
      </c>
      <c r="L620" s="1" t="str">
        <f t="shared" si="49"/>
        <v>Normal</v>
      </c>
    </row>
    <row r="621" spans="1:12" x14ac:dyDescent="0.25">
      <c r="A621">
        <v>29</v>
      </c>
      <c r="B621">
        <v>130</v>
      </c>
      <c r="C621">
        <v>70</v>
      </c>
      <c r="D621">
        <v>7.5</v>
      </c>
      <c r="E621">
        <v>98</v>
      </c>
      <c r="F621">
        <v>78</v>
      </c>
      <c r="G621" t="s">
        <v>9</v>
      </c>
      <c r="H621" s="1" t="str">
        <f t="shared" si="45"/>
        <v>20-30</v>
      </c>
      <c r="I621" s="1" t="str">
        <f t="shared" si="46"/>
        <v>Pre-High</v>
      </c>
      <c r="J621" s="1" t="str">
        <f t="shared" si="47"/>
        <v>Normal</v>
      </c>
      <c r="K621" s="1" t="str">
        <f t="shared" si="48"/>
        <v>Normal</v>
      </c>
      <c r="L621" s="1" t="str">
        <f t="shared" si="49"/>
        <v>Normal</v>
      </c>
    </row>
    <row r="622" spans="1:12" x14ac:dyDescent="0.25">
      <c r="A622">
        <v>17</v>
      </c>
      <c r="B622">
        <v>85</v>
      </c>
      <c r="C622">
        <v>60</v>
      </c>
      <c r="D622">
        <v>7.5</v>
      </c>
      <c r="E622">
        <v>101</v>
      </c>
      <c r="F622">
        <v>86</v>
      </c>
      <c r="G622" t="s">
        <v>7</v>
      </c>
      <c r="H622" s="1" t="str">
        <f t="shared" si="45"/>
        <v>10-20</v>
      </c>
      <c r="I622" s="1" t="str">
        <f t="shared" si="46"/>
        <v>Normal</v>
      </c>
      <c r="J622" s="1" t="str">
        <f t="shared" si="47"/>
        <v>Normal</v>
      </c>
      <c r="K622" s="1" t="str">
        <f t="shared" si="48"/>
        <v>High</v>
      </c>
      <c r="L622" s="1" t="str">
        <f t="shared" si="49"/>
        <v>High</v>
      </c>
    </row>
    <row r="623" spans="1:12" x14ac:dyDescent="0.25">
      <c r="A623">
        <v>32</v>
      </c>
      <c r="B623">
        <v>120</v>
      </c>
      <c r="C623">
        <v>90</v>
      </c>
      <c r="D623">
        <v>7.5</v>
      </c>
      <c r="E623">
        <v>98</v>
      </c>
      <c r="F623">
        <v>70</v>
      </c>
      <c r="G623" t="s">
        <v>8</v>
      </c>
      <c r="H623" s="1" t="str">
        <f t="shared" si="45"/>
        <v>30-40</v>
      </c>
      <c r="I623" s="1" t="str">
        <f t="shared" si="46"/>
        <v>High</v>
      </c>
      <c r="J623" s="1" t="str">
        <f t="shared" si="47"/>
        <v>Normal</v>
      </c>
      <c r="K623" s="1" t="str">
        <f t="shared" si="48"/>
        <v>Normal</v>
      </c>
      <c r="L623" s="1" t="str">
        <f t="shared" si="49"/>
        <v>Normal</v>
      </c>
    </row>
    <row r="624" spans="1:12" x14ac:dyDescent="0.25">
      <c r="A624">
        <v>42</v>
      </c>
      <c r="B624">
        <v>120</v>
      </c>
      <c r="C624">
        <v>80</v>
      </c>
      <c r="D624">
        <v>7.5</v>
      </c>
      <c r="E624">
        <v>98</v>
      </c>
      <c r="F624">
        <v>70</v>
      </c>
      <c r="G624" t="s">
        <v>8</v>
      </c>
      <c r="H624" s="1" t="str">
        <f t="shared" si="45"/>
        <v>40-50</v>
      </c>
      <c r="I624" s="1" t="str">
        <f t="shared" si="46"/>
        <v>Pre-High</v>
      </c>
      <c r="J624" s="1" t="str">
        <f t="shared" si="47"/>
        <v>Normal</v>
      </c>
      <c r="K624" s="1" t="str">
        <f t="shared" si="48"/>
        <v>Normal</v>
      </c>
      <c r="L624" s="1" t="str">
        <f t="shared" si="49"/>
        <v>Normal</v>
      </c>
    </row>
    <row r="625" spans="1:12" x14ac:dyDescent="0.25">
      <c r="A625">
        <v>23</v>
      </c>
      <c r="B625">
        <v>90</v>
      </c>
      <c r="C625">
        <v>60</v>
      </c>
      <c r="D625">
        <v>7.5</v>
      </c>
      <c r="E625">
        <v>98</v>
      </c>
      <c r="F625">
        <v>76</v>
      </c>
      <c r="G625" t="s">
        <v>8</v>
      </c>
      <c r="H625" s="1" t="str">
        <f t="shared" si="45"/>
        <v>20-30</v>
      </c>
      <c r="I625" s="1" t="str">
        <f t="shared" si="46"/>
        <v>Normal</v>
      </c>
      <c r="J625" s="1" t="str">
        <f t="shared" si="47"/>
        <v>Normal</v>
      </c>
      <c r="K625" s="1" t="str">
        <f t="shared" si="48"/>
        <v>Normal</v>
      </c>
      <c r="L625" s="1" t="str">
        <f t="shared" si="49"/>
        <v>Normal</v>
      </c>
    </row>
    <row r="626" spans="1:12" x14ac:dyDescent="0.25">
      <c r="A626">
        <v>19</v>
      </c>
      <c r="B626">
        <v>120</v>
      </c>
      <c r="C626">
        <v>80</v>
      </c>
      <c r="D626">
        <v>7</v>
      </c>
      <c r="E626">
        <v>98</v>
      </c>
      <c r="F626">
        <v>70</v>
      </c>
      <c r="G626" t="s">
        <v>9</v>
      </c>
      <c r="H626" s="1" t="str">
        <f t="shared" si="45"/>
        <v>10-20</v>
      </c>
      <c r="I626" s="1" t="str">
        <f t="shared" si="46"/>
        <v>Pre-High</v>
      </c>
      <c r="J626" s="1" t="str">
        <f t="shared" si="47"/>
        <v>Normal</v>
      </c>
      <c r="K626" s="1" t="str">
        <f t="shared" si="48"/>
        <v>Normal</v>
      </c>
      <c r="L626" s="1" t="str">
        <f t="shared" si="49"/>
        <v>Normal</v>
      </c>
    </row>
    <row r="627" spans="1:12" x14ac:dyDescent="0.25">
      <c r="A627">
        <v>15</v>
      </c>
      <c r="B627">
        <v>76</v>
      </c>
      <c r="C627">
        <v>49</v>
      </c>
      <c r="D627">
        <v>7.5</v>
      </c>
      <c r="E627">
        <v>98</v>
      </c>
      <c r="F627">
        <v>77</v>
      </c>
      <c r="G627" t="s">
        <v>8</v>
      </c>
      <c r="H627" s="1" t="str">
        <f t="shared" si="45"/>
        <v>10-20</v>
      </c>
      <c r="I627" s="1" t="str">
        <f t="shared" si="46"/>
        <v>Low BP</v>
      </c>
      <c r="J627" s="1" t="str">
        <f t="shared" si="47"/>
        <v>Normal</v>
      </c>
      <c r="K627" s="1" t="str">
        <f t="shared" si="48"/>
        <v>Normal</v>
      </c>
      <c r="L627" s="1" t="str">
        <f t="shared" si="49"/>
        <v>Normal</v>
      </c>
    </row>
    <row r="628" spans="1:12" x14ac:dyDescent="0.25">
      <c r="A628">
        <v>20</v>
      </c>
      <c r="B628">
        <v>120</v>
      </c>
      <c r="C628">
        <v>76</v>
      </c>
      <c r="D628">
        <v>7.5</v>
      </c>
      <c r="E628">
        <v>98</v>
      </c>
      <c r="F628">
        <v>70</v>
      </c>
      <c r="G628" t="s">
        <v>8</v>
      </c>
      <c r="H628" s="1" t="str">
        <f t="shared" si="45"/>
        <v>10-20</v>
      </c>
      <c r="I628" s="1" t="str">
        <f t="shared" si="46"/>
        <v>Pre-High</v>
      </c>
      <c r="J628" s="1" t="str">
        <f t="shared" si="47"/>
        <v>Normal</v>
      </c>
      <c r="K628" s="1" t="str">
        <f t="shared" si="48"/>
        <v>Normal</v>
      </c>
      <c r="L628" s="1" t="str">
        <f t="shared" si="49"/>
        <v>Normal</v>
      </c>
    </row>
    <row r="629" spans="1:12" x14ac:dyDescent="0.25">
      <c r="A629">
        <v>48</v>
      </c>
      <c r="B629">
        <v>120</v>
      </c>
      <c r="C629">
        <v>80</v>
      </c>
      <c r="D629">
        <v>11</v>
      </c>
      <c r="E629">
        <v>98</v>
      </c>
      <c r="F629">
        <v>88</v>
      </c>
      <c r="G629" t="s">
        <v>7</v>
      </c>
      <c r="H629" s="1" t="str">
        <f t="shared" si="45"/>
        <v>40-50</v>
      </c>
      <c r="I629" s="1" t="str">
        <f t="shared" si="46"/>
        <v>Pre-High</v>
      </c>
      <c r="J629" s="1" t="str">
        <f t="shared" si="47"/>
        <v>Slightly High</v>
      </c>
      <c r="K629" s="1" t="str">
        <f t="shared" si="48"/>
        <v>High</v>
      </c>
      <c r="L629" s="1" t="str">
        <f t="shared" si="49"/>
        <v>Normal</v>
      </c>
    </row>
    <row r="630" spans="1:12" x14ac:dyDescent="0.25">
      <c r="A630">
        <v>15</v>
      </c>
      <c r="B630">
        <v>120</v>
      </c>
      <c r="C630">
        <v>80</v>
      </c>
      <c r="D630">
        <v>7.5</v>
      </c>
      <c r="E630">
        <v>98</v>
      </c>
      <c r="F630">
        <v>70</v>
      </c>
      <c r="G630" t="s">
        <v>8</v>
      </c>
      <c r="H630" s="1" t="str">
        <f t="shared" si="45"/>
        <v>10-20</v>
      </c>
      <c r="I630" s="1" t="str">
        <f t="shared" si="46"/>
        <v>Pre-High</v>
      </c>
      <c r="J630" s="1" t="str">
        <f t="shared" si="47"/>
        <v>Normal</v>
      </c>
      <c r="K630" s="1" t="str">
        <f t="shared" si="48"/>
        <v>Normal</v>
      </c>
      <c r="L630" s="1" t="str">
        <f t="shared" si="49"/>
        <v>Normal</v>
      </c>
    </row>
    <row r="631" spans="1:12" x14ac:dyDescent="0.25">
      <c r="A631">
        <v>24</v>
      </c>
      <c r="B631">
        <v>120</v>
      </c>
      <c r="C631">
        <v>80</v>
      </c>
      <c r="D631">
        <v>7.5</v>
      </c>
      <c r="E631">
        <v>98</v>
      </c>
      <c r="F631">
        <v>66</v>
      </c>
      <c r="G631" t="s">
        <v>8</v>
      </c>
      <c r="H631" s="1" t="str">
        <f t="shared" si="45"/>
        <v>20-30</v>
      </c>
      <c r="I631" s="1" t="str">
        <f t="shared" si="46"/>
        <v>Pre-High</v>
      </c>
      <c r="J631" s="1" t="str">
        <f t="shared" si="47"/>
        <v>Normal</v>
      </c>
      <c r="K631" s="1" t="str">
        <f t="shared" si="48"/>
        <v>Low</v>
      </c>
      <c r="L631" s="1" t="str">
        <f t="shared" si="49"/>
        <v>Normal</v>
      </c>
    </row>
    <row r="632" spans="1:12" x14ac:dyDescent="0.25">
      <c r="A632">
        <v>22</v>
      </c>
      <c r="B632">
        <v>100</v>
      </c>
      <c r="C632">
        <v>65</v>
      </c>
      <c r="D632">
        <v>12</v>
      </c>
      <c r="E632">
        <v>98</v>
      </c>
      <c r="F632">
        <v>80</v>
      </c>
      <c r="G632" t="s">
        <v>7</v>
      </c>
      <c r="H632" s="1" t="str">
        <f t="shared" si="45"/>
        <v>20-30</v>
      </c>
      <c r="I632" s="1" t="str">
        <f t="shared" si="46"/>
        <v>Normal</v>
      </c>
      <c r="J632" s="1" t="str">
        <f t="shared" si="47"/>
        <v>High</v>
      </c>
      <c r="K632" s="1" t="str">
        <f t="shared" si="48"/>
        <v>Normal</v>
      </c>
      <c r="L632" s="1" t="str">
        <f t="shared" si="49"/>
        <v>Normal</v>
      </c>
    </row>
    <row r="633" spans="1:12" x14ac:dyDescent="0.25">
      <c r="A633">
        <v>50</v>
      </c>
      <c r="B633">
        <v>140</v>
      </c>
      <c r="C633">
        <v>95</v>
      </c>
      <c r="D633">
        <v>17</v>
      </c>
      <c r="E633">
        <v>98</v>
      </c>
      <c r="F633">
        <v>60</v>
      </c>
      <c r="G633" t="s">
        <v>7</v>
      </c>
      <c r="H633" s="1" t="str">
        <f t="shared" si="45"/>
        <v>40-50</v>
      </c>
      <c r="I633" s="1" t="str">
        <f t="shared" si="46"/>
        <v>High</v>
      </c>
      <c r="J633" s="1" t="str">
        <f t="shared" si="47"/>
        <v>High</v>
      </c>
      <c r="K633" s="1" t="str">
        <f t="shared" si="48"/>
        <v>Low</v>
      </c>
      <c r="L633" s="1" t="str">
        <f t="shared" si="49"/>
        <v>Normal</v>
      </c>
    </row>
    <row r="634" spans="1:12" x14ac:dyDescent="0.25">
      <c r="A634">
        <v>35</v>
      </c>
      <c r="B634">
        <v>100</v>
      </c>
      <c r="C634">
        <v>70</v>
      </c>
      <c r="D634">
        <v>11</v>
      </c>
      <c r="E634">
        <v>98</v>
      </c>
      <c r="F634">
        <v>60</v>
      </c>
      <c r="G634" t="s">
        <v>7</v>
      </c>
      <c r="H634" s="1" t="str">
        <f t="shared" si="45"/>
        <v>30-40</v>
      </c>
      <c r="I634" s="1" t="str">
        <f t="shared" si="46"/>
        <v>Normal</v>
      </c>
      <c r="J634" s="1" t="str">
        <f t="shared" si="47"/>
        <v>Slightly High</v>
      </c>
      <c r="K634" s="1" t="str">
        <f t="shared" si="48"/>
        <v>Low</v>
      </c>
      <c r="L634" s="1" t="str">
        <f t="shared" si="49"/>
        <v>Normal</v>
      </c>
    </row>
    <row r="635" spans="1:12" x14ac:dyDescent="0.25">
      <c r="A635">
        <v>19</v>
      </c>
      <c r="B635">
        <v>120</v>
      </c>
      <c r="C635">
        <v>85</v>
      </c>
      <c r="D635">
        <v>9</v>
      </c>
      <c r="E635">
        <v>98</v>
      </c>
      <c r="F635">
        <v>60</v>
      </c>
      <c r="G635" t="s">
        <v>9</v>
      </c>
      <c r="H635" s="1" t="str">
        <f t="shared" si="45"/>
        <v>10-20</v>
      </c>
      <c r="I635" s="1" t="str">
        <f t="shared" si="46"/>
        <v>Pre-High</v>
      </c>
      <c r="J635" s="1" t="str">
        <f t="shared" si="47"/>
        <v>Slightly High</v>
      </c>
      <c r="K635" s="1" t="str">
        <f t="shared" si="48"/>
        <v>Low</v>
      </c>
      <c r="L635" s="1" t="str">
        <f t="shared" si="49"/>
        <v>Normal</v>
      </c>
    </row>
    <row r="636" spans="1:12" x14ac:dyDescent="0.25">
      <c r="A636">
        <v>30</v>
      </c>
      <c r="B636">
        <v>90</v>
      </c>
      <c r="C636">
        <v>65</v>
      </c>
      <c r="D636">
        <v>8</v>
      </c>
      <c r="E636">
        <v>98</v>
      </c>
      <c r="F636">
        <v>77</v>
      </c>
      <c r="G636" t="s">
        <v>9</v>
      </c>
      <c r="H636" s="1" t="str">
        <f t="shared" si="45"/>
        <v>20-30</v>
      </c>
      <c r="I636" s="1" t="str">
        <f t="shared" si="46"/>
        <v>Normal</v>
      </c>
      <c r="J636" s="1" t="str">
        <f t="shared" si="47"/>
        <v>Slightly High</v>
      </c>
      <c r="K636" s="1" t="str">
        <f t="shared" si="48"/>
        <v>Normal</v>
      </c>
      <c r="L636" s="1" t="str">
        <f t="shared" si="49"/>
        <v>Normal</v>
      </c>
    </row>
    <row r="637" spans="1:12" x14ac:dyDescent="0.25">
      <c r="A637">
        <v>28</v>
      </c>
      <c r="B637">
        <v>85</v>
      </c>
      <c r="C637">
        <v>60</v>
      </c>
      <c r="D637">
        <v>9</v>
      </c>
      <c r="E637">
        <v>101</v>
      </c>
      <c r="F637">
        <v>86</v>
      </c>
      <c r="G637" t="s">
        <v>9</v>
      </c>
      <c r="H637" s="1" t="str">
        <f t="shared" si="45"/>
        <v>20-30</v>
      </c>
      <c r="I637" s="1" t="str">
        <f t="shared" si="46"/>
        <v>Normal</v>
      </c>
      <c r="J637" s="1" t="str">
        <f t="shared" si="47"/>
        <v>Slightly High</v>
      </c>
      <c r="K637" s="1" t="str">
        <f t="shared" si="48"/>
        <v>High</v>
      </c>
      <c r="L637" s="1" t="str">
        <f t="shared" si="49"/>
        <v>High</v>
      </c>
    </row>
    <row r="638" spans="1:12" x14ac:dyDescent="0.25">
      <c r="A638">
        <v>50</v>
      </c>
      <c r="B638">
        <v>130</v>
      </c>
      <c r="C638">
        <v>80</v>
      </c>
      <c r="D638">
        <v>15</v>
      </c>
      <c r="E638">
        <v>98</v>
      </c>
      <c r="F638">
        <v>86</v>
      </c>
      <c r="G638" t="s">
        <v>7</v>
      </c>
      <c r="H638" s="1" t="str">
        <f t="shared" si="45"/>
        <v>40-50</v>
      </c>
      <c r="I638" s="1" t="str">
        <f t="shared" si="46"/>
        <v>Pre-High</v>
      </c>
      <c r="J638" s="1" t="str">
        <f t="shared" si="47"/>
        <v>High</v>
      </c>
      <c r="K638" s="1" t="str">
        <f t="shared" si="48"/>
        <v>High</v>
      </c>
      <c r="L638" s="1" t="str">
        <f t="shared" si="49"/>
        <v>Normal</v>
      </c>
    </row>
    <row r="639" spans="1:12" x14ac:dyDescent="0.25">
      <c r="A639">
        <v>35</v>
      </c>
      <c r="B639">
        <v>140</v>
      </c>
      <c r="C639">
        <v>90</v>
      </c>
      <c r="D639">
        <v>13</v>
      </c>
      <c r="E639">
        <v>98</v>
      </c>
      <c r="F639">
        <v>70</v>
      </c>
      <c r="G639" t="s">
        <v>7</v>
      </c>
      <c r="H639" s="1" t="str">
        <f t="shared" si="45"/>
        <v>30-40</v>
      </c>
      <c r="I639" s="1" t="str">
        <f t="shared" si="46"/>
        <v>High</v>
      </c>
      <c r="J639" s="1" t="str">
        <f t="shared" si="47"/>
        <v>High</v>
      </c>
      <c r="K639" s="1" t="str">
        <f t="shared" si="48"/>
        <v>Normal</v>
      </c>
      <c r="L639" s="1" t="str">
        <f t="shared" si="49"/>
        <v>Normal</v>
      </c>
    </row>
    <row r="640" spans="1:12" x14ac:dyDescent="0.25">
      <c r="A640">
        <v>29</v>
      </c>
      <c r="B640">
        <v>90</v>
      </c>
      <c r="C640">
        <v>70</v>
      </c>
      <c r="D640">
        <v>11</v>
      </c>
      <c r="E640">
        <v>100</v>
      </c>
      <c r="F640">
        <v>80</v>
      </c>
      <c r="G640" t="s">
        <v>7</v>
      </c>
      <c r="H640" s="1" t="str">
        <f t="shared" si="45"/>
        <v>20-30</v>
      </c>
      <c r="I640" s="1" t="str">
        <f t="shared" si="46"/>
        <v>Normal</v>
      </c>
      <c r="J640" s="1" t="str">
        <f t="shared" si="47"/>
        <v>Slightly High</v>
      </c>
      <c r="K640" s="1" t="str">
        <f t="shared" si="48"/>
        <v>Normal</v>
      </c>
      <c r="L640" s="1" t="str">
        <f t="shared" si="49"/>
        <v>High</v>
      </c>
    </row>
    <row r="641" spans="1:12" x14ac:dyDescent="0.25">
      <c r="A641">
        <v>19</v>
      </c>
      <c r="B641">
        <v>120</v>
      </c>
      <c r="C641">
        <v>60</v>
      </c>
      <c r="D641">
        <v>7</v>
      </c>
      <c r="E641">
        <v>98.4</v>
      </c>
      <c r="F641">
        <v>70</v>
      </c>
      <c r="G641" t="s">
        <v>8</v>
      </c>
      <c r="H641" s="1" t="str">
        <f t="shared" si="45"/>
        <v>10-20</v>
      </c>
      <c r="I641" s="1" t="str">
        <f t="shared" si="46"/>
        <v>Pre-High</v>
      </c>
      <c r="J641" s="1" t="str">
        <f t="shared" si="47"/>
        <v>Normal</v>
      </c>
      <c r="K641" s="1" t="str">
        <f t="shared" si="48"/>
        <v>Normal</v>
      </c>
      <c r="L641" s="1" t="str">
        <f t="shared" si="49"/>
        <v>Normal</v>
      </c>
    </row>
    <row r="642" spans="1:12" x14ac:dyDescent="0.25">
      <c r="A642">
        <v>46</v>
      </c>
      <c r="B642">
        <v>140</v>
      </c>
      <c r="C642">
        <v>100</v>
      </c>
      <c r="D642">
        <v>12</v>
      </c>
      <c r="E642">
        <v>99</v>
      </c>
      <c r="F642">
        <v>90</v>
      </c>
      <c r="G642" t="s">
        <v>7</v>
      </c>
      <c r="H642" s="1" t="str">
        <f t="shared" si="45"/>
        <v>40-50</v>
      </c>
      <c r="I642" s="1" t="str">
        <f t="shared" si="46"/>
        <v>Critical</v>
      </c>
      <c r="J642" s="1" t="str">
        <f t="shared" si="47"/>
        <v>High</v>
      </c>
      <c r="K642" s="1" t="str">
        <f t="shared" si="48"/>
        <v>High</v>
      </c>
      <c r="L642" s="1" t="str">
        <f t="shared" si="49"/>
        <v>Normal</v>
      </c>
    </row>
    <row r="643" spans="1:12" x14ac:dyDescent="0.25">
      <c r="A643">
        <v>28</v>
      </c>
      <c r="B643">
        <v>95</v>
      </c>
      <c r="C643">
        <v>60</v>
      </c>
      <c r="D643">
        <v>10</v>
      </c>
      <c r="E643">
        <v>101</v>
      </c>
      <c r="F643">
        <v>86</v>
      </c>
      <c r="G643" t="s">
        <v>7</v>
      </c>
      <c r="H643" s="1" t="str">
        <f t="shared" ref="H643:H706" si="50">IF(A643&lt;=20,"10-20",
 IF(A643&lt;=30,"20-30",
 IF(A643&lt;=40,"30-40",
 IF(A643&lt;=50,"40-50","50+"))))</f>
        <v>20-30</v>
      </c>
      <c r="I643" s="1" t="str">
        <f t="shared" ref="I643:I706" si="51">IF(AND(B643&lt;90,C643&lt;60),"Low BP",
 IF(AND(B643&lt;120,C643&lt;80),"Normal",
 IF(AND(B643&lt;140,C643&lt;90),"Pre-High",
 IF(AND(B643&lt;160,C643&lt;100),"High","Critical"))))</f>
        <v>Normal</v>
      </c>
      <c r="J643" s="1" t="str">
        <f t="shared" ref="J643:J706" si="52">IF(D643&lt;8,"Normal",
 IF(D643&lt;12,"Slightly High","High"))</f>
        <v>Slightly High</v>
      </c>
      <c r="K643" s="1" t="str">
        <f t="shared" ref="K643:K706" si="53">IF(F643&lt;70,"Low",
 IF(F643&lt;=85,"Normal","High"))</f>
        <v>High</v>
      </c>
      <c r="L643" s="1" t="str">
        <f t="shared" ref="L643:L706" si="54">IF(E643&lt;97.5,"Low",
 IF(E643&lt;=99,"Normal","High"))</f>
        <v>High</v>
      </c>
    </row>
    <row r="644" spans="1:12" x14ac:dyDescent="0.25">
      <c r="A644">
        <v>50</v>
      </c>
      <c r="B644">
        <v>120</v>
      </c>
      <c r="C644">
        <v>80</v>
      </c>
      <c r="D644">
        <v>7</v>
      </c>
      <c r="E644">
        <v>98</v>
      </c>
      <c r="F644">
        <v>70</v>
      </c>
      <c r="G644" t="s">
        <v>9</v>
      </c>
      <c r="H644" s="1" t="str">
        <f t="shared" si="50"/>
        <v>40-50</v>
      </c>
      <c r="I644" s="1" t="str">
        <f t="shared" si="51"/>
        <v>Pre-High</v>
      </c>
      <c r="J644" s="1" t="str">
        <f t="shared" si="52"/>
        <v>Normal</v>
      </c>
      <c r="K644" s="1" t="str">
        <f t="shared" si="53"/>
        <v>Normal</v>
      </c>
      <c r="L644" s="1" t="str">
        <f t="shared" si="54"/>
        <v>Normal</v>
      </c>
    </row>
    <row r="645" spans="1:12" x14ac:dyDescent="0.25">
      <c r="A645">
        <v>39</v>
      </c>
      <c r="B645">
        <v>110</v>
      </c>
      <c r="C645">
        <v>70</v>
      </c>
      <c r="D645">
        <v>7.9</v>
      </c>
      <c r="E645">
        <v>98</v>
      </c>
      <c r="F645">
        <v>80</v>
      </c>
      <c r="G645" t="s">
        <v>9</v>
      </c>
      <c r="H645" s="1" t="str">
        <f t="shared" si="50"/>
        <v>30-40</v>
      </c>
      <c r="I645" s="1" t="str">
        <f t="shared" si="51"/>
        <v>Normal</v>
      </c>
      <c r="J645" s="1" t="str">
        <f t="shared" si="52"/>
        <v>Normal</v>
      </c>
      <c r="K645" s="1" t="str">
        <f t="shared" si="53"/>
        <v>Normal</v>
      </c>
      <c r="L645" s="1" t="str">
        <f t="shared" si="54"/>
        <v>Normal</v>
      </c>
    </row>
    <row r="646" spans="1:12" x14ac:dyDescent="0.25">
      <c r="A646">
        <v>25</v>
      </c>
      <c r="B646">
        <v>140</v>
      </c>
      <c r="C646">
        <v>100</v>
      </c>
      <c r="D646">
        <v>15</v>
      </c>
      <c r="E646">
        <v>98.6</v>
      </c>
      <c r="F646">
        <v>70</v>
      </c>
      <c r="G646" t="s">
        <v>7</v>
      </c>
      <c r="H646" s="1" t="str">
        <f t="shared" si="50"/>
        <v>20-30</v>
      </c>
      <c r="I646" s="1" t="str">
        <f t="shared" si="51"/>
        <v>Critical</v>
      </c>
      <c r="J646" s="1" t="str">
        <f t="shared" si="52"/>
        <v>High</v>
      </c>
      <c r="K646" s="1" t="str">
        <f t="shared" si="53"/>
        <v>Normal</v>
      </c>
      <c r="L646" s="1" t="str">
        <f t="shared" si="54"/>
        <v>Normal</v>
      </c>
    </row>
    <row r="647" spans="1:12" x14ac:dyDescent="0.25">
      <c r="A647">
        <v>31</v>
      </c>
      <c r="B647">
        <v>120</v>
      </c>
      <c r="C647">
        <v>60</v>
      </c>
      <c r="D647">
        <v>6.1</v>
      </c>
      <c r="E647">
        <v>98</v>
      </c>
      <c r="F647">
        <v>76</v>
      </c>
      <c r="G647" t="s">
        <v>8</v>
      </c>
      <c r="H647" s="1" t="str">
        <f t="shared" si="50"/>
        <v>30-40</v>
      </c>
      <c r="I647" s="1" t="str">
        <f t="shared" si="51"/>
        <v>Pre-High</v>
      </c>
      <c r="J647" s="1" t="str">
        <f t="shared" si="52"/>
        <v>Normal</v>
      </c>
      <c r="K647" s="1" t="str">
        <f t="shared" si="53"/>
        <v>Normal</v>
      </c>
      <c r="L647" s="1" t="str">
        <f t="shared" si="54"/>
        <v>Normal</v>
      </c>
    </row>
    <row r="648" spans="1:12" x14ac:dyDescent="0.25">
      <c r="A648">
        <v>23</v>
      </c>
      <c r="B648">
        <v>120</v>
      </c>
      <c r="C648">
        <v>85</v>
      </c>
      <c r="D648">
        <v>8</v>
      </c>
      <c r="E648">
        <v>98</v>
      </c>
      <c r="F648">
        <v>70</v>
      </c>
      <c r="G648" t="s">
        <v>8</v>
      </c>
      <c r="H648" s="1" t="str">
        <f t="shared" si="50"/>
        <v>20-30</v>
      </c>
      <c r="I648" s="1" t="str">
        <f t="shared" si="51"/>
        <v>Pre-High</v>
      </c>
      <c r="J648" s="1" t="str">
        <f t="shared" si="52"/>
        <v>Slightly High</v>
      </c>
      <c r="K648" s="1" t="str">
        <f t="shared" si="53"/>
        <v>Normal</v>
      </c>
      <c r="L648" s="1" t="str">
        <f t="shared" si="54"/>
        <v>Normal</v>
      </c>
    </row>
    <row r="649" spans="1:12" x14ac:dyDescent="0.25">
      <c r="A649">
        <v>29</v>
      </c>
      <c r="B649">
        <v>130</v>
      </c>
      <c r="C649">
        <v>70</v>
      </c>
      <c r="D649">
        <v>8</v>
      </c>
      <c r="E649">
        <v>98</v>
      </c>
      <c r="F649">
        <v>78</v>
      </c>
      <c r="G649" t="s">
        <v>9</v>
      </c>
      <c r="H649" s="1" t="str">
        <f t="shared" si="50"/>
        <v>20-30</v>
      </c>
      <c r="I649" s="1" t="str">
        <f t="shared" si="51"/>
        <v>Pre-High</v>
      </c>
      <c r="J649" s="1" t="str">
        <f t="shared" si="52"/>
        <v>Slightly High</v>
      </c>
      <c r="K649" s="1" t="str">
        <f t="shared" si="53"/>
        <v>Normal</v>
      </c>
      <c r="L649" s="1" t="str">
        <f t="shared" si="54"/>
        <v>Normal</v>
      </c>
    </row>
    <row r="650" spans="1:12" x14ac:dyDescent="0.25">
      <c r="A650">
        <v>17</v>
      </c>
      <c r="B650">
        <v>90</v>
      </c>
      <c r="C650">
        <v>60</v>
      </c>
      <c r="D650">
        <v>9</v>
      </c>
      <c r="E650">
        <v>102</v>
      </c>
      <c r="F650">
        <v>86</v>
      </c>
      <c r="G650" t="s">
        <v>9</v>
      </c>
      <c r="H650" s="1" t="str">
        <f t="shared" si="50"/>
        <v>10-20</v>
      </c>
      <c r="I650" s="1" t="str">
        <f t="shared" si="51"/>
        <v>Normal</v>
      </c>
      <c r="J650" s="1" t="str">
        <f t="shared" si="52"/>
        <v>Slightly High</v>
      </c>
      <c r="K650" s="1" t="str">
        <f t="shared" si="53"/>
        <v>High</v>
      </c>
      <c r="L650" s="1" t="str">
        <f t="shared" si="54"/>
        <v>High</v>
      </c>
    </row>
    <row r="651" spans="1:12" x14ac:dyDescent="0.25">
      <c r="A651">
        <v>32</v>
      </c>
      <c r="B651">
        <v>120</v>
      </c>
      <c r="C651">
        <v>90</v>
      </c>
      <c r="D651">
        <v>7</v>
      </c>
      <c r="E651">
        <v>100</v>
      </c>
      <c r="F651">
        <v>70</v>
      </c>
      <c r="G651" t="s">
        <v>9</v>
      </c>
      <c r="H651" s="1" t="str">
        <f t="shared" si="50"/>
        <v>30-40</v>
      </c>
      <c r="I651" s="1" t="str">
        <f t="shared" si="51"/>
        <v>High</v>
      </c>
      <c r="J651" s="1" t="str">
        <f t="shared" si="52"/>
        <v>Normal</v>
      </c>
      <c r="K651" s="1" t="str">
        <f t="shared" si="53"/>
        <v>Normal</v>
      </c>
      <c r="L651" s="1" t="str">
        <f t="shared" si="54"/>
        <v>High</v>
      </c>
    </row>
    <row r="652" spans="1:12" x14ac:dyDescent="0.25">
      <c r="A652">
        <v>42</v>
      </c>
      <c r="B652">
        <v>120</v>
      </c>
      <c r="C652">
        <v>90</v>
      </c>
      <c r="D652">
        <v>9</v>
      </c>
      <c r="E652">
        <v>98</v>
      </c>
      <c r="F652">
        <v>70</v>
      </c>
      <c r="G652" t="s">
        <v>9</v>
      </c>
      <c r="H652" s="1" t="str">
        <f t="shared" si="50"/>
        <v>40-50</v>
      </c>
      <c r="I652" s="1" t="str">
        <f t="shared" si="51"/>
        <v>High</v>
      </c>
      <c r="J652" s="1" t="str">
        <f t="shared" si="52"/>
        <v>Slightly High</v>
      </c>
      <c r="K652" s="1" t="str">
        <f t="shared" si="53"/>
        <v>Normal</v>
      </c>
      <c r="L652" s="1" t="str">
        <f t="shared" si="54"/>
        <v>Normal</v>
      </c>
    </row>
    <row r="653" spans="1:12" x14ac:dyDescent="0.25">
      <c r="A653">
        <v>23</v>
      </c>
      <c r="B653">
        <v>90</v>
      </c>
      <c r="C653">
        <v>60</v>
      </c>
      <c r="D653">
        <v>6.7</v>
      </c>
      <c r="E653">
        <v>98</v>
      </c>
      <c r="F653">
        <v>76</v>
      </c>
      <c r="G653" t="s">
        <v>8</v>
      </c>
      <c r="H653" s="1" t="str">
        <f t="shared" si="50"/>
        <v>20-30</v>
      </c>
      <c r="I653" s="1" t="str">
        <f t="shared" si="51"/>
        <v>Normal</v>
      </c>
      <c r="J653" s="1" t="str">
        <f t="shared" si="52"/>
        <v>Normal</v>
      </c>
      <c r="K653" s="1" t="str">
        <f t="shared" si="53"/>
        <v>Normal</v>
      </c>
      <c r="L653" s="1" t="str">
        <f t="shared" si="54"/>
        <v>Normal</v>
      </c>
    </row>
    <row r="654" spans="1:12" x14ac:dyDescent="0.25">
      <c r="A654">
        <v>19</v>
      </c>
      <c r="B654">
        <v>120</v>
      </c>
      <c r="C654">
        <v>80</v>
      </c>
      <c r="D654">
        <v>7</v>
      </c>
      <c r="E654">
        <v>98</v>
      </c>
      <c r="F654">
        <v>70</v>
      </c>
      <c r="G654" t="s">
        <v>8</v>
      </c>
      <c r="H654" s="1" t="str">
        <f t="shared" si="50"/>
        <v>10-20</v>
      </c>
      <c r="I654" s="1" t="str">
        <f t="shared" si="51"/>
        <v>Pre-High</v>
      </c>
      <c r="J654" s="1" t="str">
        <f t="shared" si="52"/>
        <v>Normal</v>
      </c>
      <c r="K654" s="1" t="str">
        <f t="shared" si="53"/>
        <v>Normal</v>
      </c>
      <c r="L654" s="1" t="str">
        <f t="shared" si="54"/>
        <v>Normal</v>
      </c>
    </row>
    <row r="655" spans="1:12" x14ac:dyDescent="0.25">
      <c r="A655">
        <v>15</v>
      </c>
      <c r="B655">
        <v>76</v>
      </c>
      <c r="C655">
        <v>68</v>
      </c>
      <c r="D655">
        <v>7</v>
      </c>
      <c r="E655">
        <v>98</v>
      </c>
      <c r="F655">
        <v>77</v>
      </c>
      <c r="G655" t="s">
        <v>8</v>
      </c>
      <c r="H655" s="1" t="str">
        <f t="shared" si="50"/>
        <v>10-20</v>
      </c>
      <c r="I655" s="1" t="str">
        <f t="shared" si="51"/>
        <v>Normal</v>
      </c>
      <c r="J655" s="1" t="str">
        <f t="shared" si="52"/>
        <v>Normal</v>
      </c>
      <c r="K655" s="1" t="str">
        <f t="shared" si="53"/>
        <v>Normal</v>
      </c>
      <c r="L655" s="1" t="str">
        <f t="shared" si="54"/>
        <v>Normal</v>
      </c>
    </row>
    <row r="656" spans="1:12" x14ac:dyDescent="0.25">
      <c r="A656">
        <v>34</v>
      </c>
      <c r="B656">
        <v>120</v>
      </c>
      <c r="C656">
        <v>75</v>
      </c>
      <c r="D656">
        <v>8</v>
      </c>
      <c r="E656">
        <v>98</v>
      </c>
      <c r="F656">
        <v>70</v>
      </c>
      <c r="G656" t="s">
        <v>8</v>
      </c>
      <c r="H656" s="1" t="str">
        <f t="shared" si="50"/>
        <v>30-40</v>
      </c>
      <c r="I656" s="1" t="str">
        <f t="shared" si="51"/>
        <v>Pre-High</v>
      </c>
      <c r="J656" s="1" t="str">
        <f t="shared" si="52"/>
        <v>Slightly High</v>
      </c>
      <c r="K656" s="1" t="str">
        <f t="shared" si="53"/>
        <v>Normal</v>
      </c>
      <c r="L656" s="1" t="str">
        <f t="shared" si="54"/>
        <v>Normal</v>
      </c>
    </row>
    <row r="657" spans="1:12" x14ac:dyDescent="0.25">
      <c r="A657">
        <v>48</v>
      </c>
      <c r="B657">
        <v>120</v>
      </c>
      <c r="C657">
        <v>80</v>
      </c>
      <c r="D657">
        <v>11</v>
      </c>
      <c r="E657">
        <v>98</v>
      </c>
      <c r="F657">
        <v>88</v>
      </c>
      <c r="G657" t="s">
        <v>7</v>
      </c>
      <c r="H657" s="1" t="str">
        <f t="shared" si="50"/>
        <v>40-50</v>
      </c>
      <c r="I657" s="1" t="str">
        <f t="shared" si="51"/>
        <v>Pre-High</v>
      </c>
      <c r="J657" s="1" t="str">
        <f t="shared" si="52"/>
        <v>Slightly High</v>
      </c>
      <c r="K657" s="1" t="str">
        <f t="shared" si="53"/>
        <v>High</v>
      </c>
      <c r="L657" s="1" t="str">
        <f t="shared" si="54"/>
        <v>Normal</v>
      </c>
    </row>
    <row r="658" spans="1:12" x14ac:dyDescent="0.25">
      <c r="A658">
        <v>15</v>
      </c>
      <c r="B658">
        <v>120</v>
      </c>
      <c r="C658">
        <v>80</v>
      </c>
      <c r="D658">
        <v>6.6</v>
      </c>
      <c r="E658">
        <v>99</v>
      </c>
      <c r="F658">
        <v>70</v>
      </c>
      <c r="G658" t="s">
        <v>8</v>
      </c>
      <c r="H658" s="1" t="str">
        <f t="shared" si="50"/>
        <v>10-20</v>
      </c>
      <c r="I658" s="1" t="str">
        <f t="shared" si="51"/>
        <v>Pre-High</v>
      </c>
      <c r="J658" s="1" t="str">
        <f t="shared" si="52"/>
        <v>Normal</v>
      </c>
      <c r="K658" s="1" t="str">
        <f t="shared" si="53"/>
        <v>Normal</v>
      </c>
      <c r="L658" s="1" t="str">
        <f t="shared" si="54"/>
        <v>Normal</v>
      </c>
    </row>
    <row r="659" spans="1:12" x14ac:dyDescent="0.25">
      <c r="A659">
        <v>27</v>
      </c>
      <c r="B659">
        <v>140</v>
      </c>
      <c r="C659">
        <v>90</v>
      </c>
      <c r="D659">
        <v>15</v>
      </c>
      <c r="E659">
        <v>98</v>
      </c>
      <c r="F659">
        <v>90</v>
      </c>
      <c r="G659" t="s">
        <v>7</v>
      </c>
      <c r="H659" s="1" t="str">
        <f t="shared" si="50"/>
        <v>20-30</v>
      </c>
      <c r="I659" s="1" t="str">
        <f t="shared" si="51"/>
        <v>High</v>
      </c>
      <c r="J659" s="1" t="str">
        <f t="shared" si="52"/>
        <v>High</v>
      </c>
      <c r="K659" s="1" t="str">
        <f t="shared" si="53"/>
        <v>High</v>
      </c>
      <c r="L659" s="1" t="str">
        <f t="shared" si="54"/>
        <v>Normal</v>
      </c>
    </row>
    <row r="660" spans="1:12" x14ac:dyDescent="0.25">
      <c r="A660">
        <v>25</v>
      </c>
      <c r="B660">
        <v>140</v>
      </c>
      <c r="C660">
        <v>100</v>
      </c>
      <c r="D660">
        <v>12</v>
      </c>
      <c r="E660">
        <v>99</v>
      </c>
      <c r="F660">
        <v>80</v>
      </c>
      <c r="G660" t="s">
        <v>7</v>
      </c>
      <c r="H660" s="1" t="str">
        <f t="shared" si="50"/>
        <v>20-30</v>
      </c>
      <c r="I660" s="1" t="str">
        <f t="shared" si="51"/>
        <v>Critical</v>
      </c>
      <c r="J660" s="1" t="str">
        <f t="shared" si="52"/>
        <v>High</v>
      </c>
      <c r="K660" s="1" t="str">
        <f t="shared" si="53"/>
        <v>Normal</v>
      </c>
      <c r="L660" s="1" t="str">
        <f t="shared" si="54"/>
        <v>Normal</v>
      </c>
    </row>
    <row r="661" spans="1:12" x14ac:dyDescent="0.25">
      <c r="A661">
        <v>36</v>
      </c>
      <c r="B661">
        <v>120</v>
      </c>
      <c r="C661">
        <v>90</v>
      </c>
      <c r="D661">
        <v>7</v>
      </c>
      <c r="E661">
        <v>98</v>
      </c>
      <c r="F661">
        <v>82</v>
      </c>
      <c r="G661" t="s">
        <v>9</v>
      </c>
      <c r="H661" s="1" t="str">
        <f t="shared" si="50"/>
        <v>30-40</v>
      </c>
      <c r="I661" s="1" t="str">
        <f t="shared" si="51"/>
        <v>High</v>
      </c>
      <c r="J661" s="1" t="str">
        <f t="shared" si="52"/>
        <v>Normal</v>
      </c>
      <c r="K661" s="1" t="str">
        <f t="shared" si="53"/>
        <v>Normal</v>
      </c>
      <c r="L661" s="1" t="str">
        <f t="shared" si="54"/>
        <v>Normal</v>
      </c>
    </row>
    <row r="662" spans="1:12" x14ac:dyDescent="0.25">
      <c r="A662">
        <v>30</v>
      </c>
      <c r="B662">
        <v>120</v>
      </c>
      <c r="C662">
        <v>80</v>
      </c>
      <c r="D662">
        <v>9</v>
      </c>
      <c r="E662">
        <v>101</v>
      </c>
      <c r="F662">
        <v>76</v>
      </c>
      <c r="G662" t="s">
        <v>9</v>
      </c>
      <c r="H662" s="1" t="str">
        <f t="shared" si="50"/>
        <v>20-30</v>
      </c>
      <c r="I662" s="1" t="str">
        <f t="shared" si="51"/>
        <v>Pre-High</v>
      </c>
      <c r="J662" s="1" t="str">
        <f t="shared" si="52"/>
        <v>Slightly High</v>
      </c>
      <c r="K662" s="1" t="str">
        <f t="shared" si="53"/>
        <v>Normal</v>
      </c>
      <c r="L662" s="1" t="str">
        <f t="shared" si="54"/>
        <v>High</v>
      </c>
    </row>
    <row r="663" spans="1:12" x14ac:dyDescent="0.25">
      <c r="A663">
        <v>15</v>
      </c>
      <c r="B663">
        <v>70</v>
      </c>
      <c r="C663">
        <v>50</v>
      </c>
      <c r="D663">
        <v>6</v>
      </c>
      <c r="E663">
        <v>98</v>
      </c>
      <c r="F663">
        <v>70</v>
      </c>
      <c r="G663" t="s">
        <v>9</v>
      </c>
      <c r="H663" s="1" t="str">
        <f t="shared" si="50"/>
        <v>10-20</v>
      </c>
      <c r="I663" s="1" t="str">
        <f t="shared" si="51"/>
        <v>Low BP</v>
      </c>
      <c r="J663" s="1" t="str">
        <f t="shared" si="52"/>
        <v>Normal</v>
      </c>
      <c r="K663" s="1" t="str">
        <f t="shared" si="53"/>
        <v>Normal</v>
      </c>
      <c r="L663" s="1" t="str">
        <f t="shared" si="54"/>
        <v>Normal</v>
      </c>
    </row>
    <row r="664" spans="1:12" x14ac:dyDescent="0.25">
      <c r="A664">
        <v>40</v>
      </c>
      <c r="B664">
        <v>120</v>
      </c>
      <c r="C664">
        <v>95</v>
      </c>
      <c r="D664">
        <v>7</v>
      </c>
      <c r="E664">
        <v>98</v>
      </c>
      <c r="F664">
        <v>70</v>
      </c>
      <c r="G664" t="s">
        <v>7</v>
      </c>
      <c r="H664" s="1" t="str">
        <f t="shared" si="50"/>
        <v>30-40</v>
      </c>
      <c r="I664" s="1" t="str">
        <f t="shared" si="51"/>
        <v>High</v>
      </c>
      <c r="J664" s="1" t="str">
        <f t="shared" si="52"/>
        <v>Normal</v>
      </c>
      <c r="K664" s="1" t="str">
        <f t="shared" si="53"/>
        <v>Normal</v>
      </c>
      <c r="L664" s="1" t="str">
        <f t="shared" si="54"/>
        <v>Normal</v>
      </c>
    </row>
    <row r="665" spans="1:12" x14ac:dyDescent="0.25">
      <c r="A665">
        <v>15</v>
      </c>
      <c r="B665">
        <v>90</v>
      </c>
      <c r="C665">
        <v>60</v>
      </c>
      <c r="D665">
        <v>6</v>
      </c>
      <c r="E665">
        <v>98</v>
      </c>
      <c r="F665">
        <v>80</v>
      </c>
      <c r="G665" t="s">
        <v>8</v>
      </c>
      <c r="H665" s="1" t="str">
        <f t="shared" si="50"/>
        <v>10-20</v>
      </c>
      <c r="I665" s="1" t="str">
        <f t="shared" si="51"/>
        <v>Normal</v>
      </c>
      <c r="J665" s="1" t="str">
        <f t="shared" si="52"/>
        <v>Normal</v>
      </c>
      <c r="K665" s="1" t="str">
        <f t="shared" si="53"/>
        <v>Normal</v>
      </c>
      <c r="L665" s="1" t="str">
        <f t="shared" si="54"/>
        <v>Normal</v>
      </c>
    </row>
    <row r="666" spans="1:12" x14ac:dyDescent="0.25">
      <c r="A666">
        <v>21</v>
      </c>
      <c r="B666">
        <v>90</v>
      </c>
      <c r="C666">
        <v>50</v>
      </c>
      <c r="D666">
        <v>6.9</v>
      </c>
      <c r="E666">
        <v>98</v>
      </c>
      <c r="F666">
        <v>60</v>
      </c>
      <c r="G666" t="s">
        <v>8</v>
      </c>
      <c r="H666" s="1" t="str">
        <f t="shared" si="50"/>
        <v>20-30</v>
      </c>
      <c r="I666" s="1" t="str">
        <f t="shared" si="51"/>
        <v>Normal</v>
      </c>
      <c r="J666" s="1" t="str">
        <f t="shared" si="52"/>
        <v>Normal</v>
      </c>
      <c r="K666" s="1" t="str">
        <f t="shared" si="53"/>
        <v>Low</v>
      </c>
      <c r="L666" s="1" t="str">
        <f t="shared" si="54"/>
        <v>Normal</v>
      </c>
    </row>
    <row r="667" spans="1:12" x14ac:dyDescent="0.25">
      <c r="A667">
        <v>15</v>
      </c>
      <c r="B667">
        <v>90</v>
      </c>
      <c r="C667">
        <v>49</v>
      </c>
      <c r="D667">
        <v>6</v>
      </c>
      <c r="E667">
        <v>98</v>
      </c>
      <c r="F667">
        <v>77</v>
      </c>
      <c r="G667" t="s">
        <v>8</v>
      </c>
      <c r="H667" s="1" t="str">
        <f t="shared" si="50"/>
        <v>10-20</v>
      </c>
      <c r="I667" s="1" t="str">
        <f t="shared" si="51"/>
        <v>Normal</v>
      </c>
      <c r="J667" s="1" t="str">
        <f t="shared" si="52"/>
        <v>Normal</v>
      </c>
      <c r="K667" s="1" t="str">
        <f t="shared" si="53"/>
        <v>Normal</v>
      </c>
      <c r="L667" s="1" t="str">
        <f t="shared" si="54"/>
        <v>Normal</v>
      </c>
    </row>
    <row r="668" spans="1:12" x14ac:dyDescent="0.25">
      <c r="A668">
        <v>21</v>
      </c>
      <c r="B668">
        <v>90</v>
      </c>
      <c r="C668">
        <v>50</v>
      </c>
      <c r="D668">
        <v>6.5</v>
      </c>
      <c r="E668">
        <v>98</v>
      </c>
      <c r="F668">
        <v>60</v>
      </c>
      <c r="G668" t="s">
        <v>8</v>
      </c>
      <c r="H668" s="1" t="str">
        <f t="shared" si="50"/>
        <v>20-30</v>
      </c>
      <c r="I668" s="1" t="str">
        <f t="shared" si="51"/>
        <v>Normal</v>
      </c>
      <c r="J668" s="1" t="str">
        <f t="shared" si="52"/>
        <v>Normal</v>
      </c>
      <c r="K668" s="1" t="str">
        <f t="shared" si="53"/>
        <v>Low</v>
      </c>
      <c r="L668" s="1" t="str">
        <f t="shared" si="54"/>
        <v>Normal</v>
      </c>
    </row>
    <row r="669" spans="1:12" x14ac:dyDescent="0.25">
      <c r="A669">
        <v>15</v>
      </c>
      <c r="B669">
        <v>90</v>
      </c>
      <c r="C669">
        <v>49</v>
      </c>
      <c r="D669">
        <v>6</v>
      </c>
      <c r="E669">
        <v>98</v>
      </c>
      <c r="F669">
        <v>77</v>
      </c>
      <c r="G669" t="s">
        <v>8</v>
      </c>
      <c r="H669" s="1" t="str">
        <f t="shared" si="50"/>
        <v>10-20</v>
      </c>
      <c r="I669" s="1" t="str">
        <f t="shared" si="51"/>
        <v>Normal</v>
      </c>
      <c r="J669" s="1" t="str">
        <f t="shared" si="52"/>
        <v>Normal</v>
      </c>
      <c r="K669" s="1" t="str">
        <f t="shared" si="53"/>
        <v>Normal</v>
      </c>
      <c r="L669" s="1" t="str">
        <f t="shared" si="54"/>
        <v>Normal</v>
      </c>
    </row>
    <row r="670" spans="1:12" x14ac:dyDescent="0.25">
      <c r="A670">
        <v>15</v>
      </c>
      <c r="B670">
        <v>90</v>
      </c>
      <c r="C670">
        <v>49</v>
      </c>
      <c r="D670">
        <v>6.7</v>
      </c>
      <c r="E670">
        <v>99</v>
      </c>
      <c r="F670">
        <v>77</v>
      </c>
      <c r="G670" t="s">
        <v>8</v>
      </c>
      <c r="H670" s="1" t="str">
        <f t="shared" si="50"/>
        <v>10-20</v>
      </c>
      <c r="I670" s="1" t="str">
        <f t="shared" si="51"/>
        <v>Normal</v>
      </c>
      <c r="J670" s="1" t="str">
        <f t="shared" si="52"/>
        <v>Normal</v>
      </c>
      <c r="K670" s="1" t="str">
        <f t="shared" si="53"/>
        <v>Normal</v>
      </c>
      <c r="L670" s="1" t="str">
        <f t="shared" si="54"/>
        <v>Normal</v>
      </c>
    </row>
    <row r="671" spans="1:12" x14ac:dyDescent="0.25">
      <c r="A671">
        <v>15</v>
      </c>
      <c r="B671">
        <v>90</v>
      </c>
      <c r="C671">
        <v>49</v>
      </c>
      <c r="D671">
        <v>6</v>
      </c>
      <c r="E671">
        <v>99</v>
      </c>
      <c r="F671">
        <v>77</v>
      </c>
      <c r="G671" t="s">
        <v>8</v>
      </c>
      <c r="H671" s="1" t="str">
        <f t="shared" si="50"/>
        <v>10-20</v>
      </c>
      <c r="I671" s="1" t="str">
        <f t="shared" si="51"/>
        <v>Normal</v>
      </c>
      <c r="J671" s="1" t="str">
        <f t="shared" si="52"/>
        <v>Normal</v>
      </c>
      <c r="K671" s="1" t="str">
        <f t="shared" si="53"/>
        <v>Normal</v>
      </c>
      <c r="L671" s="1" t="str">
        <f t="shared" si="54"/>
        <v>Normal</v>
      </c>
    </row>
    <row r="672" spans="1:12" x14ac:dyDescent="0.25">
      <c r="A672">
        <v>10</v>
      </c>
      <c r="B672">
        <v>100</v>
      </c>
      <c r="C672">
        <v>50</v>
      </c>
      <c r="D672">
        <v>6</v>
      </c>
      <c r="E672">
        <v>99</v>
      </c>
      <c r="F672">
        <v>70</v>
      </c>
      <c r="G672" t="s">
        <v>9</v>
      </c>
      <c r="H672" s="1" t="str">
        <f t="shared" si="50"/>
        <v>10-20</v>
      </c>
      <c r="I672" s="1" t="str">
        <f t="shared" si="51"/>
        <v>Normal</v>
      </c>
      <c r="J672" s="1" t="str">
        <f t="shared" si="52"/>
        <v>Normal</v>
      </c>
      <c r="K672" s="1" t="str">
        <f t="shared" si="53"/>
        <v>Normal</v>
      </c>
      <c r="L672" s="1" t="str">
        <f t="shared" si="54"/>
        <v>Normal</v>
      </c>
    </row>
    <row r="673" spans="1:12" x14ac:dyDescent="0.25">
      <c r="A673">
        <v>15</v>
      </c>
      <c r="B673">
        <v>100</v>
      </c>
      <c r="C673">
        <v>49</v>
      </c>
      <c r="D673">
        <v>6.8</v>
      </c>
      <c r="E673">
        <v>99</v>
      </c>
      <c r="F673">
        <v>77</v>
      </c>
      <c r="G673" t="s">
        <v>8</v>
      </c>
      <c r="H673" s="1" t="str">
        <f t="shared" si="50"/>
        <v>10-20</v>
      </c>
      <c r="I673" s="1" t="str">
        <f t="shared" si="51"/>
        <v>Normal</v>
      </c>
      <c r="J673" s="1" t="str">
        <f t="shared" si="52"/>
        <v>Normal</v>
      </c>
      <c r="K673" s="1" t="str">
        <f t="shared" si="53"/>
        <v>Normal</v>
      </c>
      <c r="L673" s="1" t="str">
        <f t="shared" si="54"/>
        <v>Normal</v>
      </c>
    </row>
    <row r="674" spans="1:12" x14ac:dyDescent="0.25">
      <c r="A674">
        <v>15</v>
      </c>
      <c r="B674">
        <v>100</v>
      </c>
      <c r="C674">
        <v>49</v>
      </c>
      <c r="D674">
        <v>6</v>
      </c>
      <c r="E674">
        <v>99</v>
      </c>
      <c r="F674">
        <v>77</v>
      </c>
      <c r="G674" t="s">
        <v>8</v>
      </c>
      <c r="H674" s="1" t="str">
        <f t="shared" si="50"/>
        <v>10-20</v>
      </c>
      <c r="I674" s="1" t="str">
        <f t="shared" si="51"/>
        <v>Normal</v>
      </c>
      <c r="J674" s="1" t="str">
        <f t="shared" si="52"/>
        <v>Normal</v>
      </c>
      <c r="K674" s="1" t="str">
        <f t="shared" si="53"/>
        <v>Normal</v>
      </c>
      <c r="L674" s="1" t="str">
        <f t="shared" si="54"/>
        <v>Normal</v>
      </c>
    </row>
    <row r="675" spans="1:12" x14ac:dyDescent="0.25">
      <c r="A675">
        <v>12</v>
      </c>
      <c r="B675">
        <v>100</v>
      </c>
      <c r="C675">
        <v>50</v>
      </c>
      <c r="D675">
        <v>6.4</v>
      </c>
      <c r="E675">
        <v>98</v>
      </c>
      <c r="F675">
        <v>70</v>
      </c>
      <c r="G675" t="s">
        <v>9</v>
      </c>
      <c r="H675" s="1" t="str">
        <f t="shared" si="50"/>
        <v>10-20</v>
      </c>
      <c r="I675" s="1" t="str">
        <f t="shared" si="51"/>
        <v>Normal</v>
      </c>
      <c r="J675" s="1" t="str">
        <f t="shared" si="52"/>
        <v>Normal</v>
      </c>
      <c r="K675" s="1" t="str">
        <f t="shared" si="53"/>
        <v>Normal</v>
      </c>
      <c r="L675" s="1" t="str">
        <f t="shared" si="54"/>
        <v>Normal</v>
      </c>
    </row>
    <row r="676" spans="1:12" x14ac:dyDescent="0.25">
      <c r="A676">
        <v>15</v>
      </c>
      <c r="B676">
        <v>100</v>
      </c>
      <c r="C676">
        <v>60</v>
      </c>
      <c r="D676">
        <v>6</v>
      </c>
      <c r="E676">
        <v>98</v>
      </c>
      <c r="F676">
        <v>80</v>
      </c>
      <c r="G676" t="s">
        <v>8</v>
      </c>
      <c r="H676" s="1" t="str">
        <f t="shared" si="50"/>
        <v>10-20</v>
      </c>
      <c r="I676" s="1" t="str">
        <f t="shared" si="51"/>
        <v>Normal</v>
      </c>
      <c r="J676" s="1" t="str">
        <f t="shared" si="52"/>
        <v>Normal</v>
      </c>
      <c r="K676" s="1" t="str">
        <f t="shared" si="53"/>
        <v>Normal</v>
      </c>
      <c r="L676" s="1" t="str">
        <f t="shared" si="54"/>
        <v>Normal</v>
      </c>
    </row>
    <row r="677" spans="1:12" x14ac:dyDescent="0.25">
      <c r="A677">
        <v>35</v>
      </c>
      <c r="B677">
        <v>140</v>
      </c>
      <c r="C677">
        <v>90</v>
      </c>
      <c r="D677">
        <v>13</v>
      </c>
      <c r="E677">
        <v>98</v>
      </c>
      <c r="F677">
        <v>70</v>
      </c>
      <c r="G677" t="s">
        <v>7</v>
      </c>
      <c r="H677" s="1" t="str">
        <f t="shared" si="50"/>
        <v>30-40</v>
      </c>
      <c r="I677" s="1" t="str">
        <f t="shared" si="51"/>
        <v>High</v>
      </c>
      <c r="J677" s="1" t="str">
        <f t="shared" si="52"/>
        <v>High</v>
      </c>
      <c r="K677" s="1" t="str">
        <f t="shared" si="53"/>
        <v>Normal</v>
      </c>
      <c r="L677" s="1" t="str">
        <f t="shared" si="54"/>
        <v>Normal</v>
      </c>
    </row>
    <row r="678" spans="1:12" x14ac:dyDescent="0.25">
      <c r="A678">
        <v>29</v>
      </c>
      <c r="B678">
        <v>90</v>
      </c>
      <c r="C678">
        <v>70</v>
      </c>
      <c r="D678">
        <v>8</v>
      </c>
      <c r="E678">
        <v>100</v>
      </c>
      <c r="F678">
        <v>80</v>
      </c>
      <c r="G678" t="s">
        <v>7</v>
      </c>
      <c r="H678" s="1" t="str">
        <f t="shared" si="50"/>
        <v>20-30</v>
      </c>
      <c r="I678" s="1" t="str">
        <f t="shared" si="51"/>
        <v>Normal</v>
      </c>
      <c r="J678" s="1" t="str">
        <f t="shared" si="52"/>
        <v>Slightly High</v>
      </c>
      <c r="K678" s="1" t="str">
        <f t="shared" si="53"/>
        <v>Normal</v>
      </c>
      <c r="L678" s="1" t="str">
        <f t="shared" si="54"/>
        <v>High</v>
      </c>
    </row>
    <row r="679" spans="1:12" x14ac:dyDescent="0.25">
      <c r="A679">
        <v>30</v>
      </c>
      <c r="B679">
        <v>140</v>
      </c>
      <c r="C679">
        <v>85</v>
      </c>
      <c r="D679">
        <v>7</v>
      </c>
      <c r="E679">
        <v>98</v>
      </c>
      <c r="F679">
        <v>70</v>
      </c>
      <c r="G679" t="s">
        <v>7</v>
      </c>
      <c r="H679" s="1" t="str">
        <f t="shared" si="50"/>
        <v>20-30</v>
      </c>
      <c r="I679" s="1" t="str">
        <f t="shared" si="51"/>
        <v>High</v>
      </c>
      <c r="J679" s="1" t="str">
        <f t="shared" si="52"/>
        <v>Normal</v>
      </c>
      <c r="K679" s="1" t="str">
        <f t="shared" si="53"/>
        <v>Normal</v>
      </c>
      <c r="L679" s="1" t="str">
        <f t="shared" si="54"/>
        <v>Normal</v>
      </c>
    </row>
    <row r="680" spans="1:12" x14ac:dyDescent="0.25">
      <c r="A680">
        <v>23</v>
      </c>
      <c r="B680">
        <v>140</v>
      </c>
      <c r="C680">
        <v>80</v>
      </c>
      <c r="D680">
        <v>7.01</v>
      </c>
      <c r="E680">
        <v>98</v>
      </c>
      <c r="F680">
        <v>70</v>
      </c>
      <c r="G680" t="s">
        <v>7</v>
      </c>
      <c r="H680" s="1" t="str">
        <f t="shared" si="50"/>
        <v>20-30</v>
      </c>
      <c r="I680" s="1" t="str">
        <f t="shared" si="51"/>
        <v>High</v>
      </c>
      <c r="J680" s="1" t="str">
        <f t="shared" si="52"/>
        <v>Normal</v>
      </c>
      <c r="K680" s="1" t="str">
        <f t="shared" si="53"/>
        <v>Normal</v>
      </c>
      <c r="L680" s="1" t="str">
        <f t="shared" si="54"/>
        <v>Normal</v>
      </c>
    </row>
    <row r="681" spans="1:12" x14ac:dyDescent="0.25">
      <c r="A681">
        <v>35</v>
      </c>
      <c r="B681">
        <v>85</v>
      </c>
      <c r="C681">
        <v>60</v>
      </c>
      <c r="D681">
        <v>11</v>
      </c>
      <c r="E681">
        <v>102</v>
      </c>
      <c r="F681">
        <v>86</v>
      </c>
      <c r="G681" t="s">
        <v>7</v>
      </c>
      <c r="H681" s="1" t="str">
        <f t="shared" si="50"/>
        <v>30-40</v>
      </c>
      <c r="I681" s="1" t="str">
        <f t="shared" si="51"/>
        <v>Normal</v>
      </c>
      <c r="J681" s="1" t="str">
        <f t="shared" si="52"/>
        <v>Slightly High</v>
      </c>
      <c r="K681" s="1" t="str">
        <f t="shared" si="53"/>
        <v>High</v>
      </c>
      <c r="L681" s="1" t="str">
        <f t="shared" si="54"/>
        <v>High</v>
      </c>
    </row>
    <row r="682" spans="1:12" x14ac:dyDescent="0.25">
      <c r="A682">
        <v>42</v>
      </c>
      <c r="B682">
        <v>130</v>
      </c>
      <c r="C682">
        <v>80</v>
      </c>
      <c r="D682">
        <v>18</v>
      </c>
      <c r="E682">
        <v>98</v>
      </c>
      <c r="F682">
        <v>70</v>
      </c>
      <c r="G682" t="s">
        <v>7</v>
      </c>
      <c r="H682" s="1" t="str">
        <f t="shared" si="50"/>
        <v>40-50</v>
      </c>
      <c r="I682" s="1" t="str">
        <f t="shared" si="51"/>
        <v>Pre-High</v>
      </c>
      <c r="J682" s="1" t="str">
        <f t="shared" si="52"/>
        <v>High</v>
      </c>
      <c r="K682" s="1" t="str">
        <f t="shared" si="53"/>
        <v>Normal</v>
      </c>
      <c r="L682" s="1" t="str">
        <f t="shared" si="54"/>
        <v>Normal</v>
      </c>
    </row>
    <row r="683" spans="1:12" x14ac:dyDescent="0.25">
      <c r="A683">
        <v>50</v>
      </c>
      <c r="B683">
        <v>140</v>
      </c>
      <c r="C683">
        <v>90</v>
      </c>
      <c r="D683">
        <v>15</v>
      </c>
      <c r="E683">
        <v>98</v>
      </c>
      <c r="F683">
        <v>90</v>
      </c>
      <c r="G683" t="s">
        <v>7</v>
      </c>
      <c r="H683" s="1" t="str">
        <f t="shared" si="50"/>
        <v>40-50</v>
      </c>
      <c r="I683" s="1" t="str">
        <f t="shared" si="51"/>
        <v>High</v>
      </c>
      <c r="J683" s="1" t="str">
        <f t="shared" si="52"/>
        <v>High</v>
      </c>
      <c r="K683" s="1" t="str">
        <f t="shared" si="53"/>
        <v>High</v>
      </c>
      <c r="L683" s="1" t="str">
        <f t="shared" si="54"/>
        <v>Normal</v>
      </c>
    </row>
    <row r="684" spans="1:12" x14ac:dyDescent="0.25">
      <c r="A684">
        <v>25</v>
      </c>
      <c r="B684">
        <v>140</v>
      </c>
      <c r="C684">
        <v>100</v>
      </c>
      <c r="D684">
        <v>7.01</v>
      </c>
      <c r="E684">
        <v>98</v>
      </c>
      <c r="F684">
        <v>80</v>
      </c>
      <c r="G684" t="s">
        <v>7</v>
      </c>
      <c r="H684" s="1" t="str">
        <f t="shared" si="50"/>
        <v>20-30</v>
      </c>
      <c r="I684" s="1" t="str">
        <f t="shared" si="51"/>
        <v>Critical</v>
      </c>
      <c r="J684" s="1" t="str">
        <f t="shared" si="52"/>
        <v>Normal</v>
      </c>
      <c r="K684" s="1" t="str">
        <f t="shared" si="53"/>
        <v>Normal</v>
      </c>
      <c r="L684" s="1" t="str">
        <f t="shared" si="54"/>
        <v>Normal</v>
      </c>
    </row>
    <row r="685" spans="1:12" x14ac:dyDescent="0.25">
      <c r="A685">
        <v>40</v>
      </c>
      <c r="B685">
        <v>140</v>
      </c>
      <c r="C685">
        <v>100</v>
      </c>
      <c r="D685">
        <v>18</v>
      </c>
      <c r="E685">
        <v>98</v>
      </c>
      <c r="F685">
        <v>90</v>
      </c>
      <c r="G685" t="s">
        <v>7</v>
      </c>
      <c r="H685" s="1" t="str">
        <f t="shared" si="50"/>
        <v>30-40</v>
      </c>
      <c r="I685" s="1" t="str">
        <f t="shared" si="51"/>
        <v>Critical</v>
      </c>
      <c r="J685" s="1" t="str">
        <f t="shared" si="52"/>
        <v>High</v>
      </c>
      <c r="K685" s="1" t="str">
        <f t="shared" si="53"/>
        <v>High</v>
      </c>
      <c r="L685" s="1" t="str">
        <f t="shared" si="54"/>
        <v>Normal</v>
      </c>
    </row>
    <row r="686" spans="1:12" x14ac:dyDescent="0.25">
      <c r="A686">
        <v>32</v>
      </c>
      <c r="B686">
        <v>140</v>
      </c>
      <c r="C686">
        <v>100</v>
      </c>
      <c r="D686">
        <v>6.9</v>
      </c>
      <c r="E686">
        <v>98</v>
      </c>
      <c r="F686">
        <v>78</v>
      </c>
      <c r="G686" t="s">
        <v>7</v>
      </c>
      <c r="H686" s="1" t="str">
        <f t="shared" si="50"/>
        <v>30-40</v>
      </c>
      <c r="I686" s="1" t="str">
        <f t="shared" si="51"/>
        <v>Critical</v>
      </c>
      <c r="J686" s="1" t="str">
        <f t="shared" si="52"/>
        <v>Normal</v>
      </c>
      <c r="K686" s="1" t="str">
        <f t="shared" si="53"/>
        <v>Normal</v>
      </c>
      <c r="L686" s="1" t="str">
        <f t="shared" si="54"/>
        <v>Normal</v>
      </c>
    </row>
    <row r="687" spans="1:12" x14ac:dyDescent="0.25">
      <c r="A687">
        <v>14</v>
      </c>
      <c r="B687">
        <v>90</v>
      </c>
      <c r="C687">
        <v>65</v>
      </c>
      <c r="D687">
        <v>7</v>
      </c>
      <c r="E687">
        <v>101</v>
      </c>
      <c r="F687">
        <v>70</v>
      </c>
      <c r="G687" t="s">
        <v>7</v>
      </c>
      <c r="H687" s="1" t="str">
        <f t="shared" si="50"/>
        <v>10-20</v>
      </c>
      <c r="I687" s="1" t="str">
        <f t="shared" si="51"/>
        <v>Normal</v>
      </c>
      <c r="J687" s="1" t="str">
        <f t="shared" si="52"/>
        <v>Normal</v>
      </c>
      <c r="K687" s="1" t="str">
        <f t="shared" si="53"/>
        <v>Normal</v>
      </c>
      <c r="L687" s="1" t="str">
        <f t="shared" si="54"/>
        <v>High</v>
      </c>
    </row>
    <row r="688" spans="1:12" x14ac:dyDescent="0.25">
      <c r="A688">
        <v>37</v>
      </c>
      <c r="B688">
        <v>120</v>
      </c>
      <c r="C688">
        <v>90</v>
      </c>
      <c r="D688">
        <v>11</v>
      </c>
      <c r="E688">
        <v>98</v>
      </c>
      <c r="F688">
        <v>88</v>
      </c>
      <c r="G688" t="s">
        <v>7</v>
      </c>
      <c r="H688" s="1" t="str">
        <f t="shared" si="50"/>
        <v>30-40</v>
      </c>
      <c r="I688" s="1" t="str">
        <f t="shared" si="51"/>
        <v>High</v>
      </c>
      <c r="J688" s="1" t="str">
        <f t="shared" si="52"/>
        <v>Slightly High</v>
      </c>
      <c r="K688" s="1" t="str">
        <f t="shared" si="53"/>
        <v>High</v>
      </c>
      <c r="L688" s="1" t="str">
        <f t="shared" si="54"/>
        <v>Normal</v>
      </c>
    </row>
    <row r="689" spans="1:12" x14ac:dyDescent="0.25">
      <c r="A689">
        <v>17</v>
      </c>
      <c r="B689">
        <v>110</v>
      </c>
      <c r="C689">
        <v>75</v>
      </c>
      <c r="D689">
        <v>12</v>
      </c>
      <c r="E689">
        <v>101</v>
      </c>
      <c r="F689">
        <v>76</v>
      </c>
      <c r="G689" t="s">
        <v>7</v>
      </c>
      <c r="H689" s="1" t="str">
        <f t="shared" si="50"/>
        <v>10-20</v>
      </c>
      <c r="I689" s="1" t="str">
        <f t="shared" si="51"/>
        <v>Normal</v>
      </c>
      <c r="J689" s="1" t="str">
        <f t="shared" si="52"/>
        <v>High</v>
      </c>
      <c r="K689" s="1" t="str">
        <f t="shared" si="53"/>
        <v>Normal</v>
      </c>
      <c r="L689" s="1" t="str">
        <f t="shared" si="54"/>
        <v>High</v>
      </c>
    </row>
    <row r="690" spans="1:12" x14ac:dyDescent="0.25">
      <c r="A690">
        <v>40</v>
      </c>
      <c r="B690">
        <v>120</v>
      </c>
      <c r="C690">
        <v>90</v>
      </c>
      <c r="D690">
        <v>12</v>
      </c>
      <c r="E690">
        <v>98</v>
      </c>
      <c r="F690">
        <v>80</v>
      </c>
      <c r="G690" t="s">
        <v>7</v>
      </c>
      <c r="H690" s="1" t="str">
        <f t="shared" si="50"/>
        <v>30-40</v>
      </c>
      <c r="I690" s="1" t="str">
        <f t="shared" si="51"/>
        <v>High</v>
      </c>
      <c r="J690" s="1" t="str">
        <f t="shared" si="52"/>
        <v>High</v>
      </c>
      <c r="K690" s="1" t="str">
        <f t="shared" si="53"/>
        <v>Normal</v>
      </c>
      <c r="L690" s="1" t="str">
        <f t="shared" si="54"/>
        <v>Normal</v>
      </c>
    </row>
    <row r="691" spans="1:12" x14ac:dyDescent="0.25">
      <c r="A691">
        <v>40</v>
      </c>
      <c r="B691">
        <v>160</v>
      </c>
      <c r="C691">
        <v>100</v>
      </c>
      <c r="D691">
        <v>19</v>
      </c>
      <c r="E691">
        <v>98</v>
      </c>
      <c r="F691">
        <v>77</v>
      </c>
      <c r="G691" t="s">
        <v>7</v>
      </c>
      <c r="H691" s="1" t="str">
        <f t="shared" si="50"/>
        <v>30-40</v>
      </c>
      <c r="I691" s="1" t="str">
        <f t="shared" si="51"/>
        <v>Critical</v>
      </c>
      <c r="J691" s="1" t="str">
        <f t="shared" si="52"/>
        <v>High</v>
      </c>
      <c r="K691" s="1" t="str">
        <f t="shared" si="53"/>
        <v>Normal</v>
      </c>
      <c r="L691" s="1" t="str">
        <f t="shared" si="54"/>
        <v>Normal</v>
      </c>
    </row>
    <row r="692" spans="1:12" x14ac:dyDescent="0.25">
      <c r="A692">
        <v>20</v>
      </c>
      <c r="B692">
        <v>120</v>
      </c>
      <c r="C692">
        <v>76</v>
      </c>
      <c r="D692">
        <v>7.5</v>
      </c>
      <c r="E692">
        <v>98</v>
      </c>
      <c r="F692">
        <v>70</v>
      </c>
      <c r="G692" t="s">
        <v>8</v>
      </c>
      <c r="H692" s="1" t="str">
        <f t="shared" si="50"/>
        <v>10-20</v>
      </c>
      <c r="I692" s="1" t="str">
        <f t="shared" si="51"/>
        <v>Pre-High</v>
      </c>
      <c r="J692" s="1" t="str">
        <f t="shared" si="52"/>
        <v>Normal</v>
      </c>
      <c r="K692" s="1" t="str">
        <f t="shared" si="53"/>
        <v>Normal</v>
      </c>
      <c r="L692" s="1" t="str">
        <f t="shared" si="54"/>
        <v>Normal</v>
      </c>
    </row>
    <row r="693" spans="1:12" x14ac:dyDescent="0.25">
      <c r="A693">
        <v>15</v>
      </c>
      <c r="B693">
        <v>120</v>
      </c>
      <c r="C693">
        <v>80</v>
      </c>
      <c r="D693">
        <v>7.5</v>
      </c>
      <c r="E693">
        <v>98</v>
      </c>
      <c r="F693">
        <v>70</v>
      </c>
      <c r="G693" t="s">
        <v>8</v>
      </c>
      <c r="H693" s="1" t="str">
        <f t="shared" si="50"/>
        <v>10-20</v>
      </c>
      <c r="I693" s="1" t="str">
        <f t="shared" si="51"/>
        <v>Pre-High</v>
      </c>
      <c r="J693" s="1" t="str">
        <f t="shared" si="52"/>
        <v>Normal</v>
      </c>
      <c r="K693" s="1" t="str">
        <f t="shared" si="53"/>
        <v>Normal</v>
      </c>
      <c r="L693" s="1" t="str">
        <f t="shared" si="54"/>
        <v>Normal</v>
      </c>
    </row>
    <row r="694" spans="1:12" x14ac:dyDescent="0.25">
      <c r="A694">
        <v>24</v>
      </c>
      <c r="B694">
        <v>120</v>
      </c>
      <c r="C694">
        <v>80</v>
      </c>
      <c r="D694">
        <v>7.5</v>
      </c>
      <c r="E694">
        <v>98</v>
      </c>
      <c r="F694">
        <v>66</v>
      </c>
      <c r="G694" t="s">
        <v>8</v>
      </c>
      <c r="H694" s="1" t="str">
        <f t="shared" si="50"/>
        <v>20-30</v>
      </c>
      <c r="I694" s="1" t="str">
        <f t="shared" si="51"/>
        <v>Pre-High</v>
      </c>
      <c r="J694" s="1" t="str">
        <f t="shared" si="52"/>
        <v>Normal</v>
      </c>
      <c r="K694" s="1" t="str">
        <f t="shared" si="53"/>
        <v>Low</v>
      </c>
      <c r="L694" s="1" t="str">
        <f t="shared" si="54"/>
        <v>Normal</v>
      </c>
    </row>
    <row r="695" spans="1:12" x14ac:dyDescent="0.25">
      <c r="A695">
        <v>19</v>
      </c>
      <c r="B695">
        <v>120</v>
      </c>
      <c r="C695">
        <v>60</v>
      </c>
      <c r="D695">
        <v>7</v>
      </c>
      <c r="E695">
        <v>98.4</v>
      </c>
      <c r="F695">
        <v>70</v>
      </c>
      <c r="G695" t="s">
        <v>8</v>
      </c>
      <c r="H695" s="1" t="str">
        <f t="shared" si="50"/>
        <v>10-20</v>
      </c>
      <c r="I695" s="1" t="str">
        <f t="shared" si="51"/>
        <v>Pre-High</v>
      </c>
      <c r="J695" s="1" t="str">
        <f t="shared" si="52"/>
        <v>Normal</v>
      </c>
      <c r="K695" s="1" t="str">
        <f t="shared" si="53"/>
        <v>Normal</v>
      </c>
      <c r="L695" s="1" t="str">
        <f t="shared" si="54"/>
        <v>Normal</v>
      </c>
    </row>
    <row r="696" spans="1:12" x14ac:dyDescent="0.25">
      <c r="A696">
        <v>31</v>
      </c>
      <c r="B696">
        <v>120</v>
      </c>
      <c r="C696">
        <v>60</v>
      </c>
      <c r="D696">
        <v>6.1</v>
      </c>
      <c r="E696">
        <v>98</v>
      </c>
      <c r="F696">
        <v>76</v>
      </c>
      <c r="G696" t="s">
        <v>8</v>
      </c>
      <c r="H696" s="1" t="str">
        <f t="shared" si="50"/>
        <v>30-40</v>
      </c>
      <c r="I696" s="1" t="str">
        <f t="shared" si="51"/>
        <v>Pre-High</v>
      </c>
      <c r="J696" s="1" t="str">
        <f t="shared" si="52"/>
        <v>Normal</v>
      </c>
      <c r="K696" s="1" t="str">
        <f t="shared" si="53"/>
        <v>Normal</v>
      </c>
      <c r="L696" s="1" t="str">
        <f t="shared" si="54"/>
        <v>Normal</v>
      </c>
    </row>
    <row r="697" spans="1:12" x14ac:dyDescent="0.25">
      <c r="A697">
        <v>23</v>
      </c>
      <c r="B697">
        <v>120</v>
      </c>
      <c r="C697">
        <v>85</v>
      </c>
      <c r="D697">
        <v>8</v>
      </c>
      <c r="E697">
        <v>98</v>
      </c>
      <c r="F697">
        <v>70</v>
      </c>
      <c r="G697" t="s">
        <v>8</v>
      </c>
      <c r="H697" s="1" t="str">
        <f t="shared" si="50"/>
        <v>20-30</v>
      </c>
      <c r="I697" s="1" t="str">
        <f t="shared" si="51"/>
        <v>Pre-High</v>
      </c>
      <c r="J697" s="1" t="str">
        <f t="shared" si="52"/>
        <v>Slightly High</v>
      </c>
      <c r="K697" s="1" t="str">
        <f t="shared" si="53"/>
        <v>Normal</v>
      </c>
      <c r="L697" s="1" t="str">
        <f t="shared" si="54"/>
        <v>Normal</v>
      </c>
    </row>
    <row r="698" spans="1:12" x14ac:dyDescent="0.25">
      <c r="A698">
        <v>23</v>
      </c>
      <c r="B698">
        <v>90</v>
      </c>
      <c r="C698">
        <v>60</v>
      </c>
      <c r="D698">
        <v>6.7</v>
      </c>
      <c r="E698">
        <v>98</v>
      </c>
      <c r="F698">
        <v>76</v>
      </c>
      <c r="G698" t="s">
        <v>8</v>
      </c>
      <c r="H698" s="1" t="str">
        <f t="shared" si="50"/>
        <v>20-30</v>
      </c>
      <c r="I698" s="1" t="str">
        <f t="shared" si="51"/>
        <v>Normal</v>
      </c>
      <c r="J698" s="1" t="str">
        <f t="shared" si="52"/>
        <v>Normal</v>
      </c>
      <c r="K698" s="1" t="str">
        <f t="shared" si="53"/>
        <v>Normal</v>
      </c>
      <c r="L698" s="1" t="str">
        <f t="shared" si="54"/>
        <v>Normal</v>
      </c>
    </row>
    <row r="699" spans="1:12" x14ac:dyDescent="0.25">
      <c r="A699">
        <v>19</v>
      </c>
      <c r="B699">
        <v>120</v>
      </c>
      <c r="C699">
        <v>80</v>
      </c>
      <c r="D699">
        <v>7</v>
      </c>
      <c r="E699">
        <v>98</v>
      </c>
      <c r="F699">
        <v>70</v>
      </c>
      <c r="G699" t="s">
        <v>8</v>
      </c>
      <c r="H699" s="1" t="str">
        <f t="shared" si="50"/>
        <v>10-20</v>
      </c>
      <c r="I699" s="1" t="str">
        <f t="shared" si="51"/>
        <v>Pre-High</v>
      </c>
      <c r="J699" s="1" t="str">
        <f t="shared" si="52"/>
        <v>Normal</v>
      </c>
      <c r="K699" s="1" t="str">
        <f t="shared" si="53"/>
        <v>Normal</v>
      </c>
      <c r="L699" s="1" t="str">
        <f t="shared" si="54"/>
        <v>Normal</v>
      </c>
    </row>
    <row r="700" spans="1:12" x14ac:dyDescent="0.25">
      <c r="A700">
        <v>15</v>
      </c>
      <c r="B700">
        <v>76</v>
      </c>
      <c r="C700">
        <v>68</v>
      </c>
      <c r="D700">
        <v>7</v>
      </c>
      <c r="E700">
        <v>98</v>
      </c>
      <c r="F700">
        <v>77</v>
      </c>
      <c r="G700" t="s">
        <v>8</v>
      </c>
      <c r="H700" s="1" t="str">
        <f t="shared" si="50"/>
        <v>10-20</v>
      </c>
      <c r="I700" s="1" t="str">
        <f t="shared" si="51"/>
        <v>Normal</v>
      </c>
      <c r="J700" s="1" t="str">
        <f t="shared" si="52"/>
        <v>Normal</v>
      </c>
      <c r="K700" s="1" t="str">
        <f t="shared" si="53"/>
        <v>Normal</v>
      </c>
      <c r="L700" s="1" t="str">
        <f t="shared" si="54"/>
        <v>Normal</v>
      </c>
    </row>
    <row r="701" spans="1:12" x14ac:dyDescent="0.25">
      <c r="A701">
        <v>34</v>
      </c>
      <c r="B701">
        <v>120</v>
      </c>
      <c r="C701">
        <v>75</v>
      </c>
      <c r="D701">
        <v>8</v>
      </c>
      <c r="E701">
        <v>98</v>
      </c>
      <c r="F701">
        <v>70</v>
      </c>
      <c r="G701" t="s">
        <v>8</v>
      </c>
      <c r="H701" s="1" t="str">
        <f t="shared" si="50"/>
        <v>30-40</v>
      </c>
      <c r="I701" s="1" t="str">
        <f t="shared" si="51"/>
        <v>Pre-High</v>
      </c>
      <c r="J701" s="1" t="str">
        <f t="shared" si="52"/>
        <v>Slightly High</v>
      </c>
      <c r="K701" s="1" t="str">
        <f t="shared" si="53"/>
        <v>Normal</v>
      </c>
      <c r="L701" s="1" t="str">
        <f t="shared" si="54"/>
        <v>Normal</v>
      </c>
    </row>
    <row r="702" spans="1:12" x14ac:dyDescent="0.25">
      <c r="A702">
        <v>15</v>
      </c>
      <c r="B702">
        <v>120</v>
      </c>
      <c r="C702">
        <v>80</v>
      </c>
      <c r="D702">
        <v>6.6</v>
      </c>
      <c r="E702">
        <v>99</v>
      </c>
      <c r="F702">
        <v>70</v>
      </c>
      <c r="G702" t="s">
        <v>8</v>
      </c>
      <c r="H702" s="1" t="str">
        <f t="shared" si="50"/>
        <v>10-20</v>
      </c>
      <c r="I702" s="1" t="str">
        <f t="shared" si="51"/>
        <v>Pre-High</v>
      </c>
      <c r="J702" s="1" t="str">
        <f t="shared" si="52"/>
        <v>Normal</v>
      </c>
      <c r="K702" s="1" t="str">
        <f t="shared" si="53"/>
        <v>Normal</v>
      </c>
      <c r="L702" s="1" t="str">
        <f t="shared" si="54"/>
        <v>Normal</v>
      </c>
    </row>
    <row r="703" spans="1:12" x14ac:dyDescent="0.25">
      <c r="A703">
        <v>15</v>
      </c>
      <c r="B703">
        <v>90</v>
      </c>
      <c r="C703">
        <v>60</v>
      </c>
      <c r="D703">
        <v>6</v>
      </c>
      <c r="E703">
        <v>98</v>
      </c>
      <c r="F703">
        <v>80</v>
      </c>
      <c r="G703" t="s">
        <v>8</v>
      </c>
      <c r="H703" s="1" t="str">
        <f t="shared" si="50"/>
        <v>10-20</v>
      </c>
      <c r="I703" s="1" t="str">
        <f t="shared" si="51"/>
        <v>Normal</v>
      </c>
      <c r="J703" s="1" t="str">
        <f t="shared" si="52"/>
        <v>Normal</v>
      </c>
      <c r="K703" s="1" t="str">
        <f t="shared" si="53"/>
        <v>Normal</v>
      </c>
      <c r="L703" s="1" t="str">
        <f t="shared" si="54"/>
        <v>Normal</v>
      </c>
    </row>
    <row r="704" spans="1:12" x14ac:dyDescent="0.25">
      <c r="A704">
        <v>21</v>
      </c>
      <c r="B704">
        <v>90</v>
      </c>
      <c r="C704">
        <v>50</v>
      </c>
      <c r="D704">
        <v>6.9</v>
      </c>
      <c r="E704">
        <v>98</v>
      </c>
      <c r="F704">
        <v>60</v>
      </c>
      <c r="G704" t="s">
        <v>8</v>
      </c>
      <c r="H704" s="1" t="str">
        <f t="shared" si="50"/>
        <v>20-30</v>
      </c>
      <c r="I704" s="1" t="str">
        <f t="shared" si="51"/>
        <v>Normal</v>
      </c>
      <c r="J704" s="1" t="str">
        <f t="shared" si="52"/>
        <v>Normal</v>
      </c>
      <c r="K704" s="1" t="str">
        <f t="shared" si="53"/>
        <v>Low</v>
      </c>
      <c r="L704" s="1" t="str">
        <f t="shared" si="54"/>
        <v>Normal</v>
      </c>
    </row>
    <row r="705" spans="1:12" x14ac:dyDescent="0.25">
      <c r="A705">
        <v>15</v>
      </c>
      <c r="B705">
        <v>100</v>
      </c>
      <c r="C705">
        <v>49</v>
      </c>
      <c r="D705">
        <v>7.6</v>
      </c>
      <c r="E705">
        <v>98</v>
      </c>
      <c r="F705">
        <v>77</v>
      </c>
      <c r="G705" t="s">
        <v>8</v>
      </c>
      <c r="H705" s="1" t="str">
        <f t="shared" si="50"/>
        <v>10-20</v>
      </c>
      <c r="I705" s="1" t="str">
        <f t="shared" si="51"/>
        <v>Normal</v>
      </c>
      <c r="J705" s="1" t="str">
        <f t="shared" si="52"/>
        <v>Normal</v>
      </c>
      <c r="K705" s="1" t="str">
        <f t="shared" si="53"/>
        <v>Normal</v>
      </c>
      <c r="L705" s="1" t="str">
        <f t="shared" si="54"/>
        <v>Normal</v>
      </c>
    </row>
    <row r="706" spans="1:12" x14ac:dyDescent="0.25">
      <c r="A706">
        <v>12</v>
      </c>
      <c r="B706">
        <v>100</v>
      </c>
      <c r="C706">
        <v>50</v>
      </c>
      <c r="D706">
        <v>6</v>
      </c>
      <c r="E706">
        <v>98</v>
      </c>
      <c r="F706">
        <v>70</v>
      </c>
      <c r="G706" t="s">
        <v>9</v>
      </c>
      <c r="H706" s="1" t="str">
        <f t="shared" si="50"/>
        <v>10-20</v>
      </c>
      <c r="I706" s="1" t="str">
        <f t="shared" si="51"/>
        <v>Normal</v>
      </c>
      <c r="J706" s="1" t="str">
        <f t="shared" si="52"/>
        <v>Normal</v>
      </c>
      <c r="K706" s="1" t="str">
        <f t="shared" si="53"/>
        <v>Normal</v>
      </c>
      <c r="L706" s="1" t="str">
        <f t="shared" si="54"/>
        <v>Normal</v>
      </c>
    </row>
    <row r="707" spans="1:12" x14ac:dyDescent="0.25">
      <c r="A707">
        <v>21</v>
      </c>
      <c r="B707">
        <v>100</v>
      </c>
      <c r="C707">
        <v>50</v>
      </c>
      <c r="D707">
        <v>6.8</v>
      </c>
      <c r="E707">
        <v>98</v>
      </c>
      <c r="F707">
        <v>60</v>
      </c>
      <c r="G707" t="s">
        <v>8</v>
      </c>
      <c r="H707" s="1" t="str">
        <f t="shared" ref="H707:H770" si="55">IF(A707&lt;=20,"10-20",
 IF(A707&lt;=30,"20-30",
 IF(A707&lt;=40,"30-40",
 IF(A707&lt;=50,"40-50","50+"))))</f>
        <v>20-30</v>
      </c>
      <c r="I707" s="1" t="str">
        <f t="shared" ref="I707:I770" si="56">IF(AND(B707&lt;90,C707&lt;60),"Low BP",
 IF(AND(B707&lt;120,C707&lt;80),"Normal",
 IF(AND(B707&lt;140,C707&lt;90),"Pre-High",
 IF(AND(B707&lt;160,C707&lt;100),"High","Critical"))))</f>
        <v>Normal</v>
      </c>
      <c r="J707" s="1" t="str">
        <f t="shared" ref="J707:J770" si="57">IF(D707&lt;8,"Normal",
 IF(D707&lt;12,"Slightly High","High"))</f>
        <v>Normal</v>
      </c>
      <c r="K707" s="1" t="str">
        <f t="shared" ref="K707:K770" si="58">IF(F707&lt;70,"Low",
 IF(F707&lt;=85,"Normal","High"))</f>
        <v>Low</v>
      </c>
      <c r="L707" s="1" t="str">
        <f t="shared" ref="L707:L770" si="59">IF(E707&lt;97.5,"Low",
 IF(E707&lt;=99,"Normal","High"))</f>
        <v>Normal</v>
      </c>
    </row>
    <row r="708" spans="1:12" x14ac:dyDescent="0.25">
      <c r="A708">
        <v>23</v>
      </c>
      <c r="B708">
        <v>130</v>
      </c>
      <c r="C708">
        <v>70</v>
      </c>
      <c r="D708">
        <v>7.01</v>
      </c>
      <c r="E708">
        <v>98</v>
      </c>
      <c r="F708">
        <v>78</v>
      </c>
      <c r="G708" t="s">
        <v>9</v>
      </c>
      <c r="H708" s="1" t="str">
        <f t="shared" si="55"/>
        <v>20-30</v>
      </c>
      <c r="I708" s="1" t="str">
        <f t="shared" si="56"/>
        <v>Pre-High</v>
      </c>
      <c r="J708" s="1" t="str">
        <f t="shared" si="57"/>
        <v>Normal</v>
      </c>
      <c r="K708" s="1" t="str">
        <f t="shared" si="58"/>
        <v>Normal</v>
      </c>
      <c r="L708" s="1" t="str">
        <f t="shared" si="59"/>
        <v>Normal</v>
      </c>
    </row>
    <row r="709" spans="1:12" x14ac:dyDescent="0.25">
      <c r="A709">
        <v>32</v>
      </c>
      <c r="B709">
        <v>120</v>
      </c>
      <c r="C709">
        <v>90</v>
      </c>
      <c r="D709">
        <v>6.9</v>
      </c>
      <c r="E709">
        <v>98</v>
      </c>
      <c r="F709">
        <v>70</v>
      </c>
      <c r="G709" t="s">
        <v>9</v>
      </c>
      <c r="H709" s="1" t="str">
        <f t="shared" si="55"/>
        <v>30-40</v>
      </c>
      <c r="I709" s="1" t="str">
        <f t="shared" si="56"/>
        <v>High</v>
      </c>
      <c r="J709" s="1" t="str">
        <f t="shared" si="57"/>
        <v>Normal</v>
      </c>
      <c r="K709" s="1" t="str">
        <f t="shared" si="58"/>
        <v>Normal</v>
      </c>
      <c r="L709" s="1" t="str">
        <f t="shared" si="59"/>
        <v>Normal</v>
      </c>
    </row>
    <row r="710" spans="1:12" x14ac:dyDescent="0.25">
      <c r="A710">
        <v>19</v>
      </c>
      <c r="B710">
        <v>120</v>
      </c>
      <c r="C710">
        <v>80</v>
      </c>
      <c r="D710">
        <v>7</v>
      </c>
      <c r="E710">
        <v>98</v>
      </c>
      <c r="F710">
        <v>70</v>
      </c>
      <c r="G710" t="s">
        <v>9</v>
      </c>
      <c r="H710" s="1" t="str">
        <f t="shared" si="55"/>
        <v>10-20</v>
      </c>
      <c r="I710" s="1" t="str">
        <f t="shared" si="56"/>
        <v>Pre-High</v>
      </c>
      <c r="J710" s="1" t="str">
        <f t="shared" si="57"/>
        <v>Normal</v>
      </c>
      <c r="K710" s="1" t="str">
        <f t="shared" si="58"/>
        <v>Normal</v>
      </c>
      <c r="L710" s="1" t="str">
        <f t="shared" si="59"/>
        <v>Normal</v>
      </c>
    </row>
    <row r="711" spans="1:12" x14ac:dyDescent="0.25">
      <c r="A711">
        <v>20</v>
      </c>
      <c r="B711">
        <v>120</v>
      </c>
      <c r="C711">
        <v>75</v>
      </c>
      <c r="D711">
        <v>7.01</v>
      </c>
      <c r="E711">
        <v>100</v>
      </c>
      <c r="F711">
        <v>70</v>
      </c>
      <c r="G711" t="s">
        <v>9</v>
      </c>
      <c r="H711" s="1" t="str">
        <f t="shared" si="55"/>
        <v>10-20</v>
      </c>
      <c r="I711" s="1" t="str">
        <f t="shared" si="56"/>
        <v>Pre-High</v>
      </c>
      <c r="J711" s="1" t="str">
        <f t="shared" si="57"/>
        <v>Normal</v>
      </c>
      <c r="K711" s="1" t="str">
        <f t="shared" si="58"/>
        <v>Normal</v>
      </c>
      <c r="L711" s="1" t="str">
        <f t="shared" si="59"/>
        <v>High</v>
      </c>
    </row>
    <row r="712" spans="1:12" x14ac:dyDescent="0.25">
      <c r="A712">
        <v>48</v>
      </c>
      <c r="B712">
        <v>120</v>
      </c>
      <c r="C712">
        <v>80</v>
      </c>
      <c r="D712">
        <v>11</v>
      </c>
      <c r="E712">
        <v>98</v>
      </c>
      <c r="F712">
        <v>88</v>
      </c>
      <c r="G712" t="s">
        <v>9</v>
      </c>
      <c r="H712" s="1" t="str">
        <f t="shared" si="55"/>
        <v>40-50</v>
      </c>
      <c r="I712" s="1" t="str">
        <f t="shared" si="56"/>
        <v>Pre-High</v>
      </c>
      <c r="J712" s="1" t="str">
        <f t="shared" si="57"/>
        <v>Slightly High</v>
      </c>
      <c r="K712" s="1" t="str">
        <f t="shared" si="58"/>
        <v>High</v>
      </c>
      <c r="L712" s="1" t="str">
        <f t="shared" si="59"/>
        <v>Normal</v>
      </c>
    </row>
    <row r="713" spans="1:12" x14ac:dyDescent="0.25">
      <c r="A713">
        <v>30</v>
      </c>
      <c r="B713">
        <v>120</v>
      </c>
      <c r="C713">
        <v>80</v>
      </c>
      <c r="D713">
        <v>6.9</v>
      </c>
      <c r="E713">
        <v>101</v>
      </c>
      <c r="F713">
        <v>76</v>
      </c>
      <c r="G713" t="s">
        <v>9</v>
      </c>
      <c r="H713" s="1" t="str">
        <f t="shared" si="55"/>
        <v>20-30</v>
      </c>
      <c r="I713" s="1" t="str">
        <f t="shared" si="56"/>
        <v>Pre-High</v>
      </c>
      <c r="J713" s="1" t="str">
        <f t="shared" si="57"/>
        <v>Normal</v>
      </c>
      <c r="K713" s="1" t="str">
        <f t="shared" si="58"/>
        <v>Normal</v>
      </c>
      <c r="L713" s="1" t="str">
        <f t="shared" si="59"/>
        <v>High</v>
      </c>
    </row>
    <row r="714" spans="1:12" x14ac:dyDescent="0.25">
      <c r="A714">
        <v>18</v>
      </c>
      <c r="B714">
        <v>120</v>
      </c>
      <c r="C714">
        <v>80</v>
      </c>
      <c r="D714">
        <v>6.9</v>
      </c>
      <c r="E714">
        <v>102</v>
      </c>
      <c r="F714">
        <v>76</v>
      </c>
      <c r="G714" t="s">
        <v>9</v>
      </c>
      <c r="H714" s="1" t="str">
        <f t="shared" si="55"/>
        <v>10-20</v>
      </c>
      <c r="I714" s="1" t="str">
        <f t="shared" si="56"/>
        <v>Pre-High</v>
      </c>
      <c r="J714" s="1" t="str">
        <f t="shared" si="57"/>
        <v>Normal</v>
      </c>
      <c r="K714" s="1" t="str">
        <f t="shared" si="58"/>
        <v>Normal</v>
      </c>
      <c r="L714" s="1" t="str">
        <f t="shared" si="59"/>
        <v>High</v>
      </c>
    </row>
    <row r="715" spans="1:12" x14ac:dyDescent="0.25">
      <c r="A715">
        <v>17</v>
      </c>
      <c r="B715">
        <v>90</v>
      </c>
      <c r="C715">
        <v>60</v>
      </c>
      <c r="D715">
        <v>6.9</v>
      </c>
      <c r="E715">
        <v>101</v>
      </c>
      <c r="F715">
        <v>76</v>
      </c>
      <c r="G715" t="s">
        <v>9</v>
      </c>
      <c r="H715" s="1" t="str">
        <f t="shared" si="55"/>
        <v>10-20</v>
      </c>
      <c r="I715" s="1" t="str">
        <f t="shared" si="56"/>
        <v>Normal</v>
      </c>
      <c r="J715" s="1" t="str">
        <f t="shared" si="57"/>
        <v>Normal</v>
      </c>
      <c r="K715" s="1" t="str">
        <f t="shared" si="58"/>
        <v>Normal</v>
      </c>
      <c r="L715" s="1" t="str">
        <f t="shared" si="59"/>
        <v>High</v>
      </c>
    </row>
    <row r="716" spans="1:12" x14ac:dyDescent="0.25">
      <c r="A716">
        <v>17</v>
      </c>
      <c r="B716">
        <v>90</v>
      </c>
      <c r="C716">
        <v>63</v>
      </c>
      <c r="D716">
        <v>6.9</v>
      </c>
      <c r="E716">
        <v>101</v>
      </c>
      <c r="F716">
        <v>70</v>
      </c>
      <c r="G716" t="s">
        <v>9</v>
      </c>
      <c r="H716" s="1" t="str">
        <f t="shared" si="55"/>
        <v>10-20</v>
      </c>
      <c r="I716" s="1" t="str">
        <f t="shared" si="56"/>
        <v>Normal</v>
      </c>
      <c r="J716" s="1" t="str">
        <f t="shared" si="57"/>
        <v>Normal</v>
      </c>
      <c r="K716" s="1" t="str">
        <f t="shared" si="58"/>
        <v>Normal</v>
      </c>
      <c r="L716" s="1" t="str">
        <f t="shared" si="59"/>
        <v>High</v>
      </c>
    </row>
    <row r="717" spans="1:12" x14ac:dyDescent="0.25">
      <c r="A717">
        <v>25</v>
      </c>
      <c r="B717">
        <v>120</v>
      </c>
      <c r="C717">
        <v>90</v>
      </c>
      <c r="D717">
        <v>6.7</v>
      </c>
      <c r="E717">
        <v>101</v>
      </c>
      <c r="F717">
        <v>80</v>
      </c>
      <c r="G717" t="s">
        <v>9</v>
      </c>
      <c r="H717" s="1" t="str">
        <f t="shared" si="55"/>
        <v>20-30</v>
      </c>
      <c r="I717" s="1" t="str">
        <f t="shared" si="56"/>
        <v>High</v>
      </c>
      <c r="J717" s="1" t="str">
        <f t="shared" si="57"/>
        <v>Normal</v>
      </c>
      <c r="K717" s="1" t="str">
        <f t="shared" si="58"/>
        <v>Normal</v>
      </c>
      <c r="L717" s="1" t="str">
        <f t="shared" si="59"/>
        <v>High</v>
      </c>
    </row>
    <row r="718" spans="1:12" x14ac:dyDescent="0.25">
      <c r="A718">
        <v>17</v>
      </c>
      <c r="B718">
        <v>120</v>
      </c>
      <c r="C718">
        <v>80</v>
      </c>
      <c r="D718">
        <v>6.7</v>
      </c>
      <c r="E718">
        <v>102</v>
      </c>
      <c r="F718">
        <v>76</v>
      </c>
      <c r="G718" t="s">
        <v>9</v>
      </c>
      <c r="H718" s="1" t="str">
        <f t="shared" si="55"/>
        <v>10-20</v>
      </c>
      <c r="I718" s="1" t="str">
        <f t="shared" si="56"/>
        <v>Pre-High</v>
      </c>
      <c r="J718" s="1" t="str">
        <f t="shared" si="57"/>
        <v>Normal</v>
      </c>
      <c r="K718" s="1" t="str">
        <f t="shared" si="58"/>
        <v>Normal</v>
      </c>
      <c r="L718" s="1" t="str">
        <f t="shared" si="59"/>
        <v>High</v>
      </c>
    </row>
    <row r="719" spans="1:12" x14ac:dyDescent="0.25">
      <c r="A719">
        <v>13</v>
      </c>
      <c r="B719">
        <v>90</v>
      </c>
      <c r="C719">
        <v>65</v>
      </c>
      <c r="D719">
        <v>7.9</v>
      </c>
      <c r="E719">
        <v>101</v>
      </c>
      <c r="F719">
        <v>80</v>
      </c>
      <c r="G719" t="s">
        <v>9</v>
      </c>
      <c r="H719" s="1" t="str">
        <f t="shared" si="55"/>
        <v>10-20</v>
      </c>
      <c r="I719" s="1" t="str">
        <f t="shared" si="56"/>
        <v>Normal</v>
      </c>
      <c r="J719" s="1" t="str">
        <f t="shared" si="57"/>
        <v>Normal</v>
      </c>
      <c r="K719" s="1" t="str">
        <f t="shared" si="58"/>
        <v>Normal</v>
      </c>
      <c r="L719" s="1" t="str">
        <f t="shared" si="59"/>
        <v>High</v>
      </c>
    </row>
    <row r="720" spans="1:12" x14ac:dyDescent="0.25">
      <c r="A720">
        <v>31</v>
      </c>
      <c r="B720">
        <v>120</v>
      </c>
      <c r="C720">
        <v>60</v>
      </c>
      <c r="D720">
        <v>6.1</v>
      </c>
      <c r="E720">
        <v>98</v>
      </c>
      <c r="F720">
        <v>76</v>
      </c>
      <c r="G720" t="s">
        <v>9</v>
      </c>
      <c r="H720" s="1" t="str">
        <f t="shared" si="55"/>
        <v>30-40</v>
      </c>
      <c r="I720" s="1" t="str">
        <f t="shared" si="56"/>
        <v>Pre-High</v>
      </c>
      <c r="J720" s="1" t="str">
        <f t="shared" si="57"/>
        <v>Normal</v>
      </c>
      <c r="K720" s="1" t="str">
        <f t="shared" si="58"/>
        <v>Normal</v>
      </c>
      <c r="L720" s="1" t="str">
        <f t="shared" si="59"/>
        <v>Normal</v>
      </c>
    </row>
    <row r="721" spans="1:12" x14ac:dyDescent="0.25">
      <c r="A721">
        <v>29</v>
      </c>
      <c r="B721">
        <v>130</v>
      </c>
      <c r="C721">
        <v>70</v>
      </c>
      <c r="D721">
        <v>6.1</v>
      </c>
      <c r="E721">
        <v>98</v>
      </c>
      <c r="F721">
        <v>78</v>
      </c>
      <c r="G721" t="s">
        <v>9</v>
      </c>
      <c r="H721" s="1" t="str">
        <f t="shared" si="55"/>
        <v>20-30</v>
      </c>
      <c r="I721" s="1" t="str">
        <f t="shared" si="56"/>
        <v>Pre-High</v>
      </c>
      <c r="J721" s="1" t="str">
        <f t="shared" si="57"/>
        <v>Normal</v>
      </c>
      <c r="K721" s="1" t="str">
        <f t="shared" si="58"/>
        <v>Normal</v>
      </c>
      <c r="L721" s="1" t="str">
        <f t="shared" si="59"/>
        <v>Normal</v>
      </c>
    </row>
    <row r="722" spans="1:12" x14ac:dyDescent="0.25">
      <c r="A722">
        <v>19</v>
      </c>
      <c r="B722">
        <v>120</v>
      </c>
      <c r="C722">
        <v>80</v>
      </c>
      <c r="D722">
        <v>7</v>
      </c>
      <c r="E722">
        <v>98</v>
      </c>
      <c r="F722">
        <v>70</v>
      </c>
      <c r="G722" t="s">
        <v>9</v>
      </c>
      <c r="H722" s="1" t="str">
        <f t="shared" si="55"/>
        <v>10-20</v>
      </c>
      <c r="I722" s="1" t="str">
        <f t="shared" si="56"/>
        <v>Pre-High</v>
      </c>
      <c r="J722" s="1" t="str">
        <f t="shared" si="57"/>
        <v>Normal</v>
      </c>
      <c r="K722" s="1" t="str">
        <f t="shared" si="58"/>
        <v>Normal</v>
      </c>
      <c r="L722" s="1" t="str">
        <f t="shared" si="59"/>
        <v>Normal</v>
      </c>
    </row>
    <row r="723" spans="1:12" x14ac:dyDescent="0.25">
      <c r="A723">
        <v>28</v>
      </c>
      <c r="B723">
        <v>85</v>
      </c>
      <c r="C723">
        <v>60</v>
      </c>
      <c r="D723">
        <v>9</v>
      </c>
      <c r="E723">
        <v>101</v>
      </c>
      <c r="F723">
        <v>86</v>
      </c>
      <c r="G723" t="s">
        <v>9</v>
      </c>
      <c r="H723" s="1" t="str">
        <f t="shared" si="55"/>
        <v>20-30</v>
      </c>
      <c r="I723" s="1" t="str">
        <f t="shared" si="56"/>
        <v>Normal</v>
      </c>
      <c r="J723" s="1" t="str">
        <f t="shared" si="57"/>
        <v>Slightly High</v>
      </c>
      <c r="K723" s="1" t="str">
        <f t="shared" si="58"/>
        <v>High</v>
      </c>
      <c r="L723" s="1" t="str">
        <f t="shared" si="59"/>
        <v>High</v>
      </c>
    </row>
    <row r="724" spans="1:12" x14ac:dyDescent="0.25">
      <c r="A724">
        <v>50</v>
      </c>
      <c r="B724">
        <v>140</v>
      </c>
      <c r="C724">
        <v>80</v>
      </c>
      <c r="D724">
        <v>6.7</v>
      </c>
      <c r="E724">
        <v>98</v>
      </c>
      <c r="F724">
        <v>70</v>
      </c>
      <c r="G724" t="s">
        <v>9</v>
      </c>
      <c r="H724" s="1" t="str">
        <f t="shared" si="55"/>
        <v>40-50</v>
      </c>
      <c r="I724" s="1" t="str">
        <f t="shared" si="56"/>
        <v>High</v>
      </c>
      <c r="J724" s="1" t="str">
        <f t="shared" si="57"/>
        <v>Normal</v>
      </c>
      <c r="K724" s="1" t="str">
        <f t="shared" si="58"/>
        <v>Normal</v>
      </c>
      <c r="L724" s="1" t="str">
        <f t="shared" si="59"/>
        <v>Normal</v>
      </c>
    </row>
    <row r="725" spans="1:12" x14ac:dyDescent="0.25">
      <c r="A725">
        <v>29</v>
      </c>
      <c r="B725">
        <v>90</v>
      </c>
      <c r="C725">
        <v>70</v>
      </c>
      <c r="D725">
        <v>6.7</v>
      </c>
      <c r="E725">
        <v>98</v>
      </c>
      <c r="F725">
        <v>80</v>
      </c>
      <c r="G725" t="s">
        <v>9</v>
      </c>
      <c r="H725" s="1" t="str">
        <f t="shared" si="55"/>
        <v>20-30</v>
      </c>
      <c r="I725" s="1" t="str">
        <f t="shared" si="56"/>
        <v>Normal</v>
      </c>
      <c r="J725" s="1" t="str">
        <f t="shared" si="57"/>
        <v>Normal</v>
      </c>
      <c r="K725" s="1" t="str">
        <f t="shared" si="58"/>
        <v>Normal</v>
      </c>
      <c r="L725" s="1" t="str">
        <f t="shared" si="59"/>
        <v>Normal</v>
      </c>
    </row>
    <row r="726" spans="1:12" x14ac:dyDescent="0.25">
      <c r="A726">
        <v>31</v>
      </c>
      <c r="B726">
        <v>120</v>
      </c>
      <c r="C726">
        <v>60</v>
      </c>
      <c r="D726">
        <v>6.1</v>
      </c>
      <c r="E726">
        <v>98</v>
      </c>
      <c r="F726">
        <v>76</v>
      </c>
      <c r="G726" t="s">
        <v>9</v>
      </c>
      <c r="H726" s="1" t="str">
        <f t="shared" si="55"/>
        <v>30-40</v>
      </c>
      <c r="I726" s="1" t="str">
        <f t="shared" si="56"/>
        <v>Pre-High</v>
      </c>
      <c r="J726" s="1" t="str">
        <f t="shared" si="57"/>
        <v>Normal</v>
      </c>
      <c r="K726" s="1" t="str">
        <f t="shared" si="58"/>
        <v>Normal</v>
      </c>
      <c r="L726" s="1" t="str">
        <f t="shared" si="59"/>
        <v>Normal</v>
      </c>
    </row>
    <row r="727" spans="1:12" x14ac:dyDescent="0.25">
      <c r="A727">
        <v>29</v>
      </c>
      <c r="B727">
        <v>130</v>
      </c>
      <c r="C727">
        <v>70</v>
      </c>
      <c r="D727">
        <v>6.7</v>
      </c>
      <c r="E727">
        <v>98</v>
      </c>
      <c r="F727">
        <v>78</v>
      </c>
      <c r="G727" t="s">
        <v>9</v>
      </c>
      <c r="H727" s="1" t="str">
        <f t="shared" si="55"/>
        <v>20-30</v>
      </c>
      <c r="I727" s="1" t="str">
        <f t="shared" si="56"/>
        <v>Pre-High</v>
      </c>
      <c r="J727" s="1" t="str">
        <f t="shared" si="57"/>
        <v>Normal</v>
      </c>
      <c r="K727" s="1" t="str">
        <f t="shared" si="58"/>
        <v>Normal</v>
      </c>
      <c r="L727" s="1" t="str">
        <f t="shared" si="59"/>
        <v>Normal</v>
      </c>
    </row>
    <row r="728" spans="1:12" x14ac:dyDescent="0.25">
      <c r="A728">
        <v>17</v>
      </c>
      <c r="B728">
        <v>85</v>
      </c>
      <c r="C728">
        <v>60</v>
      </c>
      <c r="D728">
        <v>9</v>
      </c>
      <c r="E728">
        <v>102</v>
      </c>
      <c r="F728">
        <v>86</v>
      </c>
      <c r="G728" t="s">
        <v>9</v>
      </c>
      <c r="H728" s="1" t="str">
        <f t="shared" si="55"/>
        <v>10-20</v>
      </c>
      <c r="I728" s="1" t="str">
        <f t="shared" si="56"/>
        <v>Normal</v>
      </c>
      <c r="J728" s="1" t="str">
        <f t="shared" si="57"/>
        <v>Slightly High</v>
      </c>
      <c r="K728" s="1" t="str">
        <f t="shared" si="58"/>
        <v>High</v>
      </c>
      <c r="L728" s="1" t="str">
        <f t="shared" si="59"/>
        <v>High</v>
      </c>
    </row>
    <row r="729" spans="1:12" x14ac:dyDescent="0.25">
      <c r="A729">
        <v>19</v>
      </c>
      <c r="B729">
        <v>120</v>
      </c>
      <c r="C729">
        <v>80</v>
      </c>
      <c r="D729">
        <v>7</v>
      </c>
      <c r="E729">
        <v>98</v>
      </c>
      <c r="F729">
        <v>70</v>
      </c>
      <c r="G729" t="s">
        <v>9</v>
      </c>
      <c r="H729" s="1" t="str">
        <f t="shared" si="55"/>
        <v>10-20</v>
      </c>
      <c r="I729" s="1" t="str">
        <f t="shared" si="56"/>
        <v>Pre-High</v>
      </c>
      <c r="J729" s="1" t="str">
        <f t="shared" si="57"/>
        <v>Normal</v>
      </c>
      <c r="K729" s="1" t="str">
        <f t="shared" si="58"/>
        <v>Normal</v>
      </c>
      <c r="L729" s="1" t="str">
        <f t="shared" si="59"/>
        <v>Normal</v>
      </c>
    </row>
    <row r="730" spans="1:12" x14ac:dyDescent="0.25">
      <c r="A730">
        <v>20</v>
      </c>
      <c r="B730">
        <v>110</v>
      </c>
      <c r="C730">
        <v>60</v>
      </c>
      <c r="D730">
        <v>7</v>
      </c>
      <c r="E730">
        <v>100</v>
      </c>
      <c r="F730">
        <v>70</v>
      </c>
      <c r="G730" t="s">
        <v>9</v>
      </c>
      <c r="H730" s="1" t="str">
        <f t="shared" si="55"/>
        <v>10-20</v>
      </c>
      <c r="I730" s="1" t="str">
        <f t="shared" si="56"/>
        <v>Normal</v>
      </c>
      <c r="J730" s="1" t="str">
        <f t="shared" si="57"/>
        <v>Normal</v>
      </c>
      <c r="K730" s="1" t="str">
        <f t="shared" si="58"/>
        <v>Normal</v>
      </c>
      <c r="L730" s="1" t="str">
        <f t="shared" si="59"/>
        <v>High</v>
      </c>
    </row>
    <row r="731" spans="1:12" x14ac:dyDescent="0.25">
      <c r="A731">
        <v>19</v>
      </c>
      <c r="B731">
        <v>120</v>
      </c>
      <c r="C731">
        <v>80</v>
      </c>
      <c r="D731">
        <v>7</v>
      </c>
      <c r="E731">
        <v>98</v>
      </c>
      <c r="F731">
        <v>70</v>
      </c>
      <c r="G731" t="s">
        <v>9</v>
      </c>
      <c r="H731" s="1" t="str">
        <f t="shared" si="55"/>
        <v>10-20</v>
      </c>
      <c r="I731" s="1" t="str">
        <f t="shared" si="56"/>
        <v>Pre-High</v>
      </c>
      <c r="J731" s="1" t="str">
        <f t="shared" si="57"/>
        <v>Normal</v>
      </c>
      <c r="K731" s="1" t="str">
        <f t="shared" si="58"/>
        <v>Normal</v>
      </c>
      <c r="L731" s="1" t="str">
        <f t="shared" si="59"/>
        <v>Normal</v>
      </c>
    </row>
    <row r="732" spans="1:12" x14ac:dyDescent="0.25">
      <c r="A732">
        <v>20</v>
      </c>
      <c r="B732">
        <v>120</v>
      </c>
      <c r="C732">
        <v>75</v>
      </c>
      <c r="D732">
        <v>7.01</v>
      </c>
      <c r="E732">
        <v>100</v>
      </c>
      <c r="F732">
        <v>70</v>
      </c>
      <c r="G732" t="s">
        <v>9</v>
      </c>
      <c r="H732" s="1" t="str">
        <f t="shared" si="55"/>
        <v>10-20</v>
      </c>
      <c r="I732" s="1" t="str">
        <f t="shared" si="56"/>
        <v>Pre-High</v>
      </c>
      <c r="J732" s="1" t="str">
        <f t="shared" si="57"/>
        <v>Normal</v>
      </c>
      <c r="K732" s="1" t="str">
        <f t="shared" si="58"/>
        <v>Normal</v>
      </c>
      <c r="L732" s="1" t="str">
        <f t="shared" si="59"/>
        <v>High</v>
      </c>
    </row>
    <row r="733" spans="1:12" x14ac:dyDescent="0.25">
      <c r="A733">
        <v>48</v>
      </c>
      <c r="B733">
        <v>120</v>
      </c>
      <c r="C733">
        <v>80</v>
      </c>
      <c r="D733">
        <v>11</v>
      </c>
      <c r="E733">
        <v>98</v>
      </c>
      <c r="F733">
        <v>88</v>
      </c>
      <c r="G733" t="s">
        <v>9</v>
      </c>
      <c r="H733" s="1" t="str">
        <f t="shared" si="55"/>
        <v>40-50</v>
      </c>
      <c r="I733" s="1" t="str">
        <f t="shared" si="56"/>
        <v>Pre-High</v>
      </c>
      <c r="J733" s="1" t="str">
        <f t="shared" si="57"/>
        <v>Slightly High</v>
      </c>
      <c r="K733" s="1" t="str">
        <f t="shared" si="58"/>
        <v>High</v>
      </c>
      <c r="L733" s="1" t="str">
        <f t="shared" si="59"/>
        <v>Normal</v>
      </c>
    </row>
    <row r="734" spans="1:12" x14ac:dyDescent="0.25">
      <c r="A734">
        <v>30</v>
      </c>
      <c r="B734">
        <v>120</v>
      </c>
      <c r="C734">
        <v>80</v>
      </c>
      <c r="D734">
        <v>6.9</v>
      </c>
      <c r="E734">
        <v>101</v>
      </c>
      <c r="F734">
        <v>76</v>
      </c>
      <c r="G734" t="s">
        <v>9</v>
      </c>
      <c r="H734" s="1" t="str">
        <f t="shared" si="55"/>
        <v>20-30</v>
      </c>
      <c r="I734" s="1" t="str">
        <f t="shared" si="56"/>
        <v>Pre-High</v>
      </c>
      <c r="J734" s="1" t="str">
        <f t="shared" si="57"/>
        <v>Normal</v>
      </c>
      <c r="K734" s="1" t="str">
        <f t="shared" si="58"/>
        <v>Normal</v>
      </c>
      <c r="L734" s="1" t="str">
        <f t="shared" si="59"/>
        <v>High</v>
      </c>
    </row>
    <row r="735" spans="1:12" x14ac:dyDescent="0.25">
      <c r="A735">
        <v>18</v>
      </c>
      <c r="B735">
        <v>120</v>
      </c>
      <c r="C735">
        <v>80</v>
      </c>
      <c r="D735">
        <v>6.9</v>
      </c>
      <c r="E735">
        <v>102</v>
      </c>
      <c r="F735">
        <v>76</v>
      </c>
      <c r="G735" t="s">
        <v>9</v>
      </c>
      <c r="H735" s="1" t="str">
        <f t="shared" si="55"/>
        <v>10-20</v>
      </c>
      <c r="I735" s="1" t="str">
        <f t="shared" si="56"/>
        <v>Pre-High</v>
      </c>
      <c r="J735" s="1" t="str">
        <f t="shared" si="57"/>
        <v>Normal</v>
      </c>
      <c r="K735" s="1" t="str">
        <f t="shared" si="58"/>
        <v>Normal</v>
      </c>
      <c r="L735" s="1" t="str">
        <f t="shared" si="59"/>
        <v>High</v>
      </c>
    </row>
    <row r="736" spans="1:12" x14ac:dyDescent="0.25">
      <c r="A736">
        <v>17</v>
      </c>
      <c r="B736">
        <v>90</v>
      </c>
      <c r="C736">
        <v>60</v>
      </c>
      <c r="D736">
        <v>6.9</v>
      </c>
      <c r="E736">
        <v>101</v>
      </c>
      <c r="F736">
        <v>76</v>
      </c>
      <c r="G736" t="s">
        <v>9</v>
      </c>
      <c r="H736" s="1" t="str">
        <f t="shared" si="55"/>
        <v>10-20</v>
      </c>
      <c r="I736" s="1" t="str">
        <f t="shared" si="56"/>
        <v>Normal</v>
      </c>
      <c r="J736" s="1" t="str">
        <f t="shared" si="57"/>
        <v>Normal</v>
      </c>
      <c r="K736" s="1" t="str">
        <f t="shared" si="58"/>
        <v>Normal</v>
      </c>
      <c r="L736" s="1" t="str">
        <f t="shared" si="59"/>
        <v>High</v>
      </c>
    </row>
    <row r="737" spans="1:12" x14ac:dyDescent="0.25">
      <c r="A737">
        <v>17</v>
      </c>
      <c r="B737">
        <v>90</v>
      </c>
      <c r="C737">
        <v>63</v>
      </c>
      <c r="D737">
        <v>6.9</v>
      </c>
      <c r="E737">
        <v>101</v>
      </c>
      <c r="F737">
        <v>70</v>
      </c>
      <c r="G737" t="s">
        <v>9</v>
      </c>
      <c r="H737" s="1" t="str">
        <f t="shared" si="55"/>
        <v>10-20</v>
      </c>
      <c r="I737" s="1" t="str">
        <f t="shared" si="56"/>
        <v>Normal</v>
      </c>
      <c r="J737" s="1" t="str">
        <f t="shared" si="57"/>
        <v>Normal</v>
      </c>
      <c r="K737" s="1" t="str">
        <f t="shared" si="58"/>
        <v>Normal</v>
      </c>
      <c r="L737" s="1" t="str">
        <f t="shared" si="59"/>
        <v>High</v>
      </c>
    </row>
    <row r="738" spans="1:12" x14ac:dyDescent="0.25">
      <c r="A738">
        <v>25</v>
      </c>
      <c r="B738">
        <v>120</v>
      </c>
      <c r="C738">
        <v>90</v>
      </c>
      <c r="D738">
        <v>6.7</v>
      </c>
      <c r="E738">
        <v>101</v>
      </c>
      <c r="F738">
        <v>80</v>
      </c>
      <c r="G738" t="s">
        <v>9</v>
      </c>
      <c r="H738" s="1" t="str">
        <f t="shared" si="55"/>
        <v>20-30</v>
      </c>
      <c r="I738" s="1" t="str">
        <f t="shared" si="56"/>
        <v>High</v>
      </c>
      <c r="J738" s="1" t="str">
        <f t="shared" si="57"/>
        <v>Normal</v>
      </c>
      <c r="K738" s="1" t="str">
        <f t="shared" si="58"/>
        <v>Normal</v>
      </c>
      <c r="L738" s="1" t="str">
        <f t="shared" si="59"/>
        <v>High</v>
      </c>
    </row>
    <row r="739" spans="1:12" x14ac:dyDescent="0.25">
      <c r="A739">
        <v>17</v>
      </c>
      <c r="B739">
        <v>120</v>
      </c>
      <c r="C739">
        <v>80</v>
      </c>
      <c r="D739">
        <v>6.7</v>
      </c>
      <c r="E739">
        <v>102</v>
      </c>
      <c r="F739">
        <v>76</v>
      </c>
      <c r="G739" t="s">
        <v>9</v>
      </c>
      <c r="H739" s="1" t="str">
        <f t="shared" si="55"/>
        <v>10-20</v>
      </c>
      <c r="I739" s="1" t="str">
        <f t="shared" si="56"/>
        <v>Pre-High</v>
      </c>
      <c r="J739" s="1" t="str">
        <f t="shared" si="57"/>
        <v>Normal</v>
      </c>
      <c r="K739" s="1" t="str">
        <f t="shared" si="58"/>
        <v>Normal</v>
      </c>
      <c r="L739" s="1" t="str">
        <f t="shared" si="59"/>
        <v>High</v>
      </c>
    </row>
    <row r="740" spans="1:12" x14ac:dyDescent="0.25">
      <c r="A740">
        <v>13</v>
      </c>
      <c r="B740">
        <v>90</v>
      </c>
      <c r="C740">
        <v>65</v>
      </c>
      <c r="D740">
        <v>7.9</v>
      </c>
      <c r="E740">
        <v>101</v>
      </c>
      <c r="F740">
        <v>80</v>
      </c>
      <c r="G740" t="s">
        <v>9</v>
      </c>
      <c r="H740" s="1" t="str">
        <f t="shared" si="55"/>
        <v>10-20</v>
      </c>
      <c r="I740" s="1" t="str">
        <f t="shared" si="56"/>
        <v>Normal</v>
      </c>
      <c r="J740" s="1" t="str">
        <f t="shared" si="57"/>
        <v>Normal</v>
      </c>
      <c r="K740" s="1" t="str">
        <f t="shared" si="58"/>
        <v>Normal</v>
      </c>
      <c r="L740" s="1" t="str">
        <f t="shared" si="59"/>
        <v>High</v>
      </c>
    </row>
    <row r="741" spans="1:12" x14ac:dyDescent="0.25">
      <c r="A741">
        <v>31</v>
      </c>
      <c r="B741">
        <v>120</v>
      </c>
      <c r="C741">
        <v>60</v>
      </c>
      <c r="D741">
        <v>6.1</v>
      </c>
      <c r="E741">
        <v>98</v>
      </c>
      <c r="F741">
        <v>76</v>
      </c>
      <c r="G741" t="s">
        <v>9</v>
      </c>
      <c r="H741" s="1" t="str">
        <f t="shared" si="55"/>
        <v>30-40</v>
      </c>
      <c r="I741" s="1" t="str">
        <f t="shared" si="56"/>
        <v>Pre-High</v>
      </c>
      <c r="J741" s="1" t="str">
        <f t="shared" si="57"/>
        <v>Normal</v>
      </c>
      <c r="K741" s="1" t="str">
        <f t="shared" si="58"/>
        <v>Normal</v>
      </c>
      <c r="L741" s="1" t="str">
        <f t="shared" si="59"/>
        <v>Normal</v>
      </c>
    </row>
    <row r="742" spans="1:12" x14ac:dyDescent="0.25">
      <c r="A742">
        <v>29</v>
      </c>
      <c r="B742">
        <v>130</v>
      </c>
      <c r="C742">
        <v>70</v>
      </c>
      <c r="D742">
        <v>6.1</v>
      </c>
      <c r="E742">
        <v>98</v>
      </c>
      <c r="F742">
        <v>78</v>
      </c>
      <c r="G742" t="s">
        <v>9</v>
      </c>
      <c r="H742" s="1" t="str">
        <f t="shared" si="55"/>
        <v>20-30</v>
      </c>
      <c r="I742" s="1" t="str">
        <f t="shared" si="56"/>
        <v>Pre-High</v>
      </c>
      <c r="J742" s="1" t="str">
        <f t="shared" si="57"/>
        <v>Normal</v>
      </c>
      <c r="K742" s="1" t="str">
        <f t="shared" si="58"/>
        <v>Normal</v>
      </c>
      <c r="L742" s="1" t="str">
        <f t="shared" si="59"/>
        <v>Normal</v>
      </c>
    </row>
    <row r="743" spans="1:12" x14ac:dyDescent="0.25">
      <c r="A743">
        <v>19</v>
      </c>
      <c r="B743">
        <v>120</v>
      </c>
      <c r="C743">
        <v>80</v>
      </c>
      <c r="D743">
        <v>7</v>
      </c>
      <c r="E743">
        <v>98</v>
      </c>
      <c r="F743">
        <v>70</v>
      </c>
      <c r="G743" t="s">
        <v>9</v>
      </c>
      <c r="H743" s="1" t="str">
        <f t="shared" si="55"/>
        <v>10-20</v>
      </c>
      <c r="I743" s="1" t="str">
        <f t="shared" si="56"/>
        <v>Pre-High</v>
      </c>
      <c r="J743" s="1" t="str">
        <f t="shared" si="57"/>
        <v>Normal</v>
      </c>
      <c r="K743" s="1" t="str">
        <f t="shared" si="58"/>
        <v>Normal</v>
      </c>
      <c r="L743" s="1" t="str">
        <f t="shared" si="59"/>
        <v>Normal</v>
      </c>
    </row>
    <row r="744" spans="1:12" x14ac:dyDescent="0.25">
      <c r="A744">
        <v>28</v>
      </c>
      <c r="B744">
        <v>85</v>
      </c>
      <c r="C744">
        <v>60</v>
      </c>
      <c r="D744">
        <v>9</v>
      </c>
      <c r="E744">
        <v>101</v>
      </c>
      <c r="F744">
        <v>86</v>
      </c>
      <c r="G744" t="s">
        <v>9</v>
      </c>
      <c r="H744" s="1" t="str">
        <f t="shared" si="55"/>
        <v>20-30</v>
      </c>
      <c r="I744" s="1" t="str">
        <f t="shared" si="56"/>
        <v>Normal</v>
      </c>
      <c r="J744" s="1" t="str">
        <f t="shared" si="57"/>
        <v>Slightly High</v>
      </c>
      <c r="K744" s="1" t="str">
        <f t="shared" si="58"/>
        <v>High</v>
      </c>
      <c r="L744" s="1" t="str">
        <f t="shared" si="59"/>
        <v>High</v>
      </c>
    </row>
    <row r="745" spans="1:12" x14ac:dyDescent="0.25">
      <c r="A745">
        <v>50</v>
      </c>
      <c r="B745">
        <v>140</v>
      </c>
      <c r="C745">
        <v>80</v>
      </c>
      <c r="D745">
        <v>6.7</v>
      </c>
      <c r="E745">
        <v>98</v>
      </c>
      <c r="F745">
        <v>70</v>
      </c>
      <c r="G745" t="s">
        <v>9</v>
      </c>
      <c r="H745" s="1" t="str">
        <f t="shared" si="55"/>
        <v>40-50</v>
      </c>
      <c r="I745" s="1" t="str">
        <f t="shared" si="56"/>
        <v>High</v>
      </c>
      <c r="J745" s="1" t="str">
        <f t="shared" si="57"/>
        <v>Normal</v>
      </c>
      <c r="K745" s="1" t="str">
        <f t="shared" si="58"/>
        <v>Normal</v>
      </c>
      <c r="L745" s="1" t="str">
        <f t="shared" si="59"/>
        <v>Normal</v>
      </c>
    </row>
    <row r="746" spans="1:12" x14ac:dyDescent="0.25">
      <c r="A746">
        <v>29</v>
      </c>
      <c r="B746">
        <v>90</v>
      </c>
      <c r="C746">
        <v>70</v>
      </c>
      <c r="D746">
        <v>6.7</v>
      </c>
      <c r="E746">
        <v>98</v>
      </c>
      <c r="F746">
        <v>80</v>
      </c>
      <c r="G746" t="s">
        <v>9</v>
      </c>
      <c r="H746" s="1" t="str">
        <f t="shared" si="55"/>
        <v>20-30</v>
      </c>
      <c r="I746" s="1" t="str">
        <f t="shared" si="56"/>
        <v>Normal</v>
      </c>
      <c r="J746" s="1" t="str">
        <f t="shared" si="57"/>
        <v>Normal</v>
      </c>
      <c r="K746" s="1" t="str">
        <f t="shared" si="58"/>
        <v>Normal</v>
      </c>
      <c r="L746" s="1" t="str">
        <f t="shared" si="59"/>
        <v>Normal</v>
      </c>
    </row>
    <row r="747" spans="1:12" x14ac:dyDescent="0.25">
      <c r="A747">
        <v>31</v>
      </c>
      <c r="B747">
        <v>120</v>
      </c>
      <c r="C747">
        <v>60</v>
      </c>
      <c r="D747">
        <v>6.1</v>
      </c>
      <c r="E747">
        <v>98</v>
      </c>
      <c r="F747">
        <v>76</v>
      </c>
      <c r="G747" t="s">
        <v>9</v>
      </c>
      <c r="H747" s="1" t="str">
        <f t="shared" si="55"/>
        <v>30-40</v>
      </c>
      <c r="I747" s="1" t="str">
        <f t="shared" si="56"/>
        <v>Pre-High</v>
      </c>
      <c r="J747" s="1" t="str">
        <f t="shared" si="57"/>
        <v>Normal</v>
      </c>
      <c r="K747" s="1" t="str">
        <f t="shared" si="58"/>
        <v>Normal</v>
      </c>
      <c r="L747" s="1" t="str">
        <f t="shared" si="59"/>
        <v>Normal</v>
      </c>
    </row>
    <row r="748" spans="1:12" x14ac:dyDescent="0.25">
      <c r="A748">
        <v>29</v>
      </c>
      <c r="B748">
        <v>130</v>
      </c>
      <c r="C748">
        <v>70</v>
      </c>
      <c r="D748">
        <v>6.7</v>
      </c>
      <c r="E748">
        <v>98</v>
      </c>
      <c r="F748">
        <v>78</v>
      </c>
      <c r="G748" t="s">
        <v>9</v>
      </c>
      <c r="H748" s="1" t="str">
        <f t="shared" si="55"/>
        <v>20-30</v>
      </c>
      <c r="I748" s="1" t="str">
        <f t="shared" si="56"/>
        <v>Pre-High</v>
      </c>
      <c r="J748" s="1" t="str">
        <f t="shared" si="57"/>
        <v>Normal</v>
      </c>
      <c r="K748" s="1" t="str">
        <f t="shared" si="58"/>
        <v>Normal</v>
      </c>
      <c r="L748" s="1" t="str">
        <f t="shared" si="59"/>
        <v>Normal</v>
      </c>
    </row>
    <row r="749" spans="1:12" x14ac:dyDescent="0.25">
      <c r="A749">
        <v>17</v>
      </c>
      <c r="B749">
        <v>85</v>
      </c>
      <c r="C749">
        <v>60</v>
      </c>
      <c r="D749">
        <v>9</v>
      </c>
      <c r="E749">
        <v>102</v>
      </c>
      <c r="F749">
        <v>86</v>
      </c>
      <c r="G749" t="s">
        <v>9</v>
      </c>
      <c r="H749" s="1" t="str">
        <f t="shared" si="55"/>
        <v>10-20</v>
      </c>
      <c r="I749" s="1" t="str">
        <f t="shared" si="56"/>
        <v>Normal</v>
      </c>
      <c r="J749" s="1" t="str">
        <f t="shared" si="57"/>
        <v>Slightly High</v>
      </c>
      <c r="K749" s="1" t="str">
        <f t="shared" si="58"/>
        <v>High</v>
      </c>
      <c r="L749" s="1" t="str">
        <f t="shared" si="59"/>
        <v>High</v>
      </c>
    </row>
    <row r="750" spans="1:12" x14ac:dyDescent="0.25">
      <c r="A750">
        <v>19</v>
      </c>
      <c r="B750">
        <v>120</v>
      </c>
      <c r="C750">
        <v>80</v>
      </c>
      <c r="D750">
        <v>7</v>
      </c>
      <c r="E750">
        <v>98</v>
      </c>
      <c r="F750">
        <v>70</v>
      </c>
      <c r="G750" t="s">
        <v>9</v>
      </c>
      <c r="H750" s="1" t="str">
        <f t="shared" si="55"/>
        <v>10-20</v>
      </c>
      <c r="I750" s="1" t="str">
        <f t="shared" si="56"/>
        <v>Pre-High</v>
      </c>
      <c r="J750" s="1" t="str">
        <f t="shared" si="57"/>
        <v>Normal</v>
      </c>
      <c r="K750" s="1" t="str">
        <f t="shared" si="58"/>
        <v>Normal</v>
      </c>
      <c r="L750" s="1" t="str">
        <f t="shared" si="59"/>
        <v>Normal</v>
      </c>
    </row>
    <row r="751" spans="1:12" x14ac:dyDescent="0.25">
      <c r="A751">
        <v>20</v>
      </c>
      <c r="B751">
        <v>110</v>
      </c>
      <c r="C751">
        <v>60</v>
      </c>
      <c r="D751">
        <v>7</v>
      </c>
      <c r="E751">
        <v>100</v>
      </c>
      <c r="F751">
        <v>70</v>
      </c>
      <c r="G751" t="s">
        <v>9</v>
      </c>
      <c r="H751" s="1" t="str">
        <f t="shared" si="55"/>
        <v>10-20</v>
      </c>
      <c r="I751" s="1" t="str">
        <f t="shared" si="56"/>
        <v>Normal</v>
      </c>
      <c r="J751" s="1" t="str">
        <f t="shared" si="57"/>
        <v>Normal</v>
      </c>
      <c r="K751" s="1" t="str">
        <f t="shared" si="58"/>
        <v>Normal</v>
      </c>
      <c r="L751" s="1" t="str">
        <f t="shared" si="59"/>
        <v>High</v>
      </c>
    </row>
    <row r="752" spans="1:12" x14ac:dyDescent="0.25">
      <c r="A752">
        <v>32</v>
      </c>
      <c r="B752">
        <v>120</v>
      </c>
      <c r="C752">
        <v>65</v>
      </c>
      <c r="D752">
        <v>6</v>
      </c>
      <c r="E752">
        <v>101</v>
      </c>
      <c r="F752">
        <v>76</v>
      </c>
      <c r="G752" t="s">
        <v>9</v>
      </c>
      <c r="H752" s="1" t="str">
        <f t="shared" si="55"/>
        <v>30-40</v>
      </c>
      <c r="I752" s="1" t="str">
        <f t="shared" si="56"/>
        <v>Pre-High</v>
      </c>
      <c r="J752" s="1" t="str">
        <f t="shared" si="57"/>
        <v>Normal</v>
      </c>
      <c r="K752" s="1" t="str">
        <f t="shared" si="58"/>
        <v>Normal</v>
      </c>
      <c r="L752" s="1" t="str">
        <f t="shared" si="59"/>
        <v>High</v>
      </c>
    </row>
    <row r="753" spans="1:12" x14ac:dyDescent="0.25">
      <c r="A753">
        <v>26</v>
      </c>
      <c r="B753">
        <v>85</v>
      </c>
      <c r="C753">
        <v>60</v>
      </c>
      <c r="D753">
        <v>6</v>
      </c>
      <c r="E753">
        <v>101</v>
      </c>
      <c r="F753">
        <v>86</v>
      </c>
      <c r="G753" t="s">
        <v>9</v>
      </c>
      <c r="H753" s="1" t="str">
        <f t="shared" si="55"/>
        <v>20-30</v>
      </c>
      <c r="I753" s="1" t="str">
        <f t="shared" si="56"/>
        <v>Normal</v>
      </c>
      <c r="J753" s="1" t="str">
        <f t="shared" si="57"/>
        <v>Normal</v>
      </c>
      <c r="K753" s="1" t="str">
        <f t="shared" si="58"/>
        <v>High</v>
      </c>
      <c r="L753" s="1" t="str">
        <f t="shared" si="59"/>
        <v>High</v>
      </c>
    </row>
    <row r="754" spans="1:12" x14ac:dyDescent="0.25">
      <c r="A754">
        <v>29</v>
      </c>
      <c r="B754">
        <v>130</v>
      </c>
      <c r="C754">
        <v>70</v>
      </c>
      <c r="D754">
        <v>7.7</v>
      </c>
      <c r="E754">
        <v>98</v>
      </c>
      <c r="F754">
        <v>78</v>
      </c>
      <c r="G754" t="s">
        <v>9</v>
      </c>
      <c r="H754" s="1" t="str">
        <f t="shared" si="55"/>
        <v>20-30</v>
      </c>
      <c r="I754" s="1" t="str">
        <f t="shared" si="56"/>
        <v>Pre-High</v>
      </c>
      <c r="J754" s="1" t="str">
        <f t="shared" si="57"/>
        <v>Normal</v>
      </c>
      <c r="K754" s="1" t="str">
        <f t="shared" si="58"/>
        <v>Normal</v>
      </c>
      <c r="L754" s="1" t="str">
        <f t="shared" si="59"/>
        <v>Normal</v>
      </c>
    </row>
    <row r="755" spans="1:12" x14ac:dyDescent="0.25">
      <c r="A755">
        <v>19</v>
      </c>
      <c r="B755">
        <v>120</v>
      </c>
      <c r="C755">
        <v>80</v>
      </c>
      <c r="D755">
        <v>7</v>
      </c>
      <c r="E755">
        <v>98</v>
      </c>
      <c r="F755">
        <v>70</v>
      </c>
      <c r="G755" t="s">
        <v>9</v>
      </c>
      <c r="H755" s="1" t="str">
        <f t="shared" si="55"/>
        <v>10-20</v>
      </c>
      <c r="I755" s="1" t="str">
        <f t="shared" si="56"/>
        <v>Pre-High</v>
      </c>
      <c r="J755" s="1" t="str">
        <f t="shared" si="57"/>
        <v>Normal</v>
      </c>
      <c r="K755" s="1" t="str">
        <f t="shared" si="58"/>
        <v>Normal</v>
      </c>
      <c r="L755" s="1" t="str">
        <f t="shared" si="59"/>
        <v>Normal</v>
      </c>
    </row>
    <row r="756" spans="1:12" x14ac:dyDescent="0.25">
      <c r="A756">
        <v>54</v>
      </c>
      <c r="B756">
        <v>130</v>
      </c>
      <c r="C756">
        <v>70</v>
      </c>
      <c r="D756">
        <v>12</v>
      </c>
      <c r="E756">
        <v>98</v>
      </c>
      <c r="F756">
        <v>67</v>
      </c>
      <c r="G756" t="s">
        <v>9</v>
      </c>
      <c r="H756" s="1" t="str">
        <f t="shared" si="55"/>
        <v>50+</v>
      </c>
      <c r="I756" s="1" t="str">
        <f t="shared" si="56"/>
        <v>Pre-High</v>
      </c>
      <c r="J756" s="1" t="str">
        <f t="shared" si="57"/>
        <v>High</v>
      </c>
      <c r="K756" s="1" t="str">
        <f t="shared" si="58"/>
        <v>Low</v>
      </c>
      <c r="L756" s="1" t="str">
        <f t="shared" si="59"/>
        <v>Normal</v>
      </c>
    </row>
    <row r="757" spans="1:12" x14ac:dyDescent="0.25">
      <c r="A757">
        <v>44</v>
      </c>
      <c r="B757">
        <v>120</v>
      </c>
      <c r="C757">
        <v>90</v>
      </c>
      <c r="D757">
        <v>16</v>
      </c>
      <c r="E757">
        <v>98</v>
      </c>
      <c r="F757">
        <v>80</v>
      </c>
      <c r="G757" t="s">
        <v>9</v>
      </c>
      <c r="H757" s="1" t="str">
        <f t="shared" si="55"/>
        <v>40-50</v>
      </c>
      <c r="I757" s="1" t="str">
        <f t="shared" si="56"/>
        <v>High</v>
      </c>
      <c r="J757" s="1" t="str">
        <f t="shared" si="57"/>
        <v>High</v>
      </c>
      <c r="K757" s="1" t="str">
        <f t="shared" si="58"/>
        <v>Normal</v>
      </c>
      <c r="L757" s="1" t="str">
        <f t="shared" si="59"/>
        <v>Normal</v>
      </c>
    </row>
    <row r="758" spans="1:12" x14ac:dyDescent="0.25">
      <c r="A758">
        <v>23</v>
      </c>
      <c r="B758">
        <v>130</v>
      </c>
      <c r="C758">
        <v>70</v>
      </c>
      <c r="D758">
        <v>6.9</v>
      </c>
      <c r="E758">
        <v>98</v>
      </c>
      <c r="F758">
        <v>70</v>
      </c>
      <c r="G758" t="s">
        <v>9</v>
      </c>
      <c r="H758" s="1" t="str">
        <f t="shared" si="55"/>
        <v>20-30</v>
      </c>
      <c r="I758" s="1" t="str">
        <f t="shared" si="56"/>
        <v>Pre-High</v>
      </c>
      <c r="J758" s="1" t="str">
        <f t="shared" si="57"/>
        <v>Normal</v>
      </c>
      <c r="K758" s="1" t="str">
        <f t="shared" si="58"/>
        <v>Normal</v>
      </c>
      <c r="L758" s="1" t="str">
        <f t="shared" si="59"/>
        <v>Normal</v>
      </c>
    </row>
    <row r="759" spans="1:12" x14ac:dyDescent="0.25">
      <c r="A759">
        <v>22</v>
      </c>
      <c r="B759">
        <v>85</v>
      </c>
      <c r="C759">
        <v>60</v>
      </c>
      <c r="D759">
        <v>6.9</v>
      </c>
      <c r="E759">
        <v>98</v>
      </c>
      <c r="F759">
        <v>76</v>
      </c>
      <c r="G759" t="s">
        <v>9</v>
      </c>
      <c r="H759" s="1" t="str">
        <f t="shared" si="55"/>
        <v>20-30</v>
      </c>
      <c r="I759" s="1" t="str">
        <f t="shared" si="56"/>
        <v>Normal</v>
      </c>
      <c r="J759" s="1" t="str">
        <f t="shared" si="57"/>
        <v>Normal</v>
      </c>
      <c r="K759" s="1" t="str">
        <f t="shared" si="58"/>
        <v>Normal</v>
      </c>
      <c r="L759" s="1" t="str">
        <f t="shared" si="59"/>
        <v>Normal</v>
      </c>
    </row>
    <row r="760" spans="1:12" x14ac:dyDescent="0.25">
      <c r="A760">
        <v>55</v>
      </c>
      <c r="B760">
        <v>120</v>
      </c>
      <c r="C760">
        <v>90</v>
      </c>
      <c r="D760">
        <v>12</v>
      </c>
      <c r="E760">
        <v>98</v>
      </c>
      <c r="F760">
        <v>70</v>
      </c>
      <c r="G760" t="s">
        <v>9</v>
      </c>
      <c r="H760" s="1" t="str">
        <f t="shared" si="55"/>
        <v>50+</v>
      </c>
      <c r="I760" s="1" t="str">
        <f t="shared" si="56"/>
        <v>High</v>
      </c>
      <c r="J760" s="1" t="str">
        <f t="shared" si="57"/>
        <v>High</v>
      </c>
      <c r="K760" s="1" t="str">
        <f t="shared" si="58"/>
        <v>Normal</v>
      </c>
      <c r="L760" s="1" t="str">
        <f t="shared" si="59"/>
        <v>Normal</v>
      </c>
    </row>
    <row r="761" spans="1:12" x14ac:dyDescent="0.25">
      <c r="A761">
        <v>35</v>
      </c>
      <c r="B761">
        <v>120</v>
      </c>
      <c r="C761">
        <v>80</v>
      </c>
      <c r="D761">
        <v>6.9</v>
      </c>
      <c r="E761">
        <v>98</v>
      </c>
      <c r="F761">
        <v>78</v>
      </c>
      <c r="G761" t="s">
        <v>9</v>
      </c>
      <c r="H761" s="1" t="str">
        <f t="shared" si="55"/>
        <v>30-40</v>
      </c>
      <c r="I761" s="1" t="str">
        <f t="shared" si="56"/>
        <v>Pre-High</v>
      </c>
      <c r="J761" s="1" t="str">
        <f t="shared" si="57"/>
        <v>Normal</v>
      </c>
      <c r="K761" s="1" t="str">
        <f t="shared" si="58"/>
        <v>Normal</v>
      </c>
      <c r="L761" s="1" t="str">
        <f t="shared" si="59"/>
        <v>Normal</v>
      </c>
    </row>
    <row r="762" spans="1:12" x14ac:dyDescent="0.25">
      <c r="A762">
        <v>21</v>
      </c>
      <c r="B762">
        <v>90</v>
      </c>
      <c r="C762">
        <v>60</v>
      </c>
      <c r="D762">
        <v>6.9</v>
      </c>
      <c r="E762">
        <v>98</v>
      </c>
      <c r="F762">
        <v>86</v>
      </c>
      <c r="G762" t="s">
        <v>9</v>
      </c>
      <c r="H762" s="1" t="str">
        <f t="shared" si="55"/>
        <v>20-30</v>
      </c>
      <c r="I762" s="1" t="str">
        <f t="shared" si="56"/>
        <v>Normal</v>
      </c>
      <c r="J762" s="1" t="str">
        <f t="shared" si="57"/>
        <v>Normal</v>
      </c>
      <c r="K762" s="1" t="str">
        <f t="shared" si="58"/>
        <v>High</v>
      </c>
      <c r="L762" s="1" t="str">
        <f t="shared" si="59"/>
        <v>Normal</v>
      </c>
    </row>
    <row r="763" spans="1:12" x14ac:dyDescent="0.25">
      <c r="A763">
        <v>16</v>
      </c>
      <c r="B763">
        <v>90</v>
      </c>
      <c r="C763">
        <v>65</v>
      </c>
      <c r="D763">
        <v>6.9</v>
      </c>
      <c r="E763">
        <v>98</v>
      </c>
      <c r="F763">
        <v>76</v>
      </c>
      <c r="G763" t="s">
        <v>9</v>
      </c>
      <c r="H763" s="1" t="str">
        <f t="shared" si="55"/>
        <v>10-20</v>
      </c>
      <c r="I763" s="1" t="str">
        <f t="shared" si="56"/>
        <v>Normal</v>
      </c>
      <c r="J763" s="1" t="str">
        <f t="shared" si="57"/>
        <v>Normal</v>
      </c>
      <c r="K763" s="1" t="str">
        <f t="shared" si="58"/>
        <v>Normal</v>
      </c>
      <c r="L763" s="1" t="str">
        <f t="shared" si="59"/>
        <v>Normal</v>
      </c>
    </row>
    <row r="764" spans="1:12" x14ac:dyDescent="0.25">
      <c r="A764">
        <v>33</v>
      </c>
      <c r="B764">
        <v>115</v>
      </c>
      <c r="C764">
        <v>65</v>
      </c>
      <c r="D764">
        <v>7</v>
      </c>
      <c r="E764">
        <v>98</v>
      </c>
      <c r="F764">
        <v>70</v>
      </c>
      <c r="G764" t="s">
        <v>9</v>
      </c>
      <c r="H764" s="1" t="str">
        <f t="shared" si="55"/>
        <v>30-40</v>
      </c>
      <c r="I764" s="1" t="str">
        <f t="shared" si="56"/>
        <v>Normal</v>
      </c>
      <c r="J764" s="1" t="str">
        <f t="shared" si="57"/>
        <v>Normal</v>
      </c>
      <c r="K764" s="1" t="str">
        <f t="shared" si="58"/>
        <v>Normal</v>
      </c>
      <c r="L764" s="1" t="str">
        <f t="shared" si="59"/>
        <v>Normal</v>
      </c>
    </row>
    <row r="765" spans="1:12" x14ac:dyDescent="0.25">
      <c r="A765">
        <v>12</v>
      </c>
      <c r="B765">
        <v>95</v>
      </c>
      <c r="C765">
        <v>60</v>
      </c>
      <c r="D765">
        <v>6.9</v>
      </c>
      <c r="E765">
        <v>98</v>
      </c>
      <c r="F765">
        <v>65</v>
      </c>
      <c r="G765" t="s">
        <v>9</v>
      </c>
      <c r="H765" s="1" t="str">
        <f t="shared" si="55"/>
        <v>10-20</v>
      </c>
      <c r="I765" s="1" t="str">
        <f t="shared" si="56"/>
        <v>Normal</v>
      </c>
      <c r="J765" s="1" t="str">
        <f t="shared" si="57"/>
        <v>Normal</v>
      </c>
      <c r="K765" s="1" t="str">
        <f t="shared" si="58"/>
        <v>Low</v>
      </c>
      <c r="L765" s="1" t="str">
        <f t="shared" si="59"/>
        <v>Normal</v>
      </c>
    </row>
    <row r="766" spans="1:12" x14ac:dyDescent="0.25">
      <c r="A766">
        <v>28</v>
      </c>
      <c r="B766">
        <v>120</v>
      </c>
      <c r="C766">
        <v>90</v>
      </c>
      <c r="D766">
        <v>6.9</v>
      </c>
      <c r="E766">
        <v>98</v>
      </c>
      <c r="F766">
        <v>70</v>
      </c>
      <c r="G766" t="s">
        <v>9</v>
      </c>
      <c r="H766" s="1" t="str">
        <f t="shared" si="55"/>
        <v>20-30</v>
      </c>
      <c r="I766" s="1" t="str">
        <f t="shared" si="56"/>
        <v>High</v>
      </c>
      <c r="J766" s="1" t="str">
        <f t="shared" si="57"/>
        <v>Normal</v>
      </c>
      <c r="K766" s="1" t="str">
        <f t="shared" si="58"/>
        <v>Normal</v>
      </c>
      <c r="L766" s="1" t="str">
        <f t="shared" si="59"/>
        <v>Normal</v>
      </c>
    </row>
    <row r="767" spans="1:12" x14ac:dyDescent="0.25">
      <c r="A767">
        <v>21</v>
      </c>
      <c r="B767">
        <v>90</v>
      </c>
      <c r="C767">
        <v>65</v>
      </c>
      <c r="D767">
        <v>6.9</v>
      </c>
      <c r="E767">
        <v>98</v>
      </c>
      <c r="F767">
        <v>76</v>
      </c>
      <c r="G767" t="s">
        <v>9</v>
      </c>
      <c r="H767" s="1" t="str">
        <f t="shared" si="55"/>
        <v>20-30</v>
      </c>
      <c r="I767" s="1" t="str">
        <f t="shared" si="56"/>
        <v>Normal</v>
      </c>
      <c r="J767" s="1" t="str">
        <f t="shared" si="57"/>
        <v>Normal</v>
      </c>
      <c r="K767" s="1" t="str">
        <f t="shared" si="58"/>
        <v>Normal</v>
      </c>
      <c r="L767" s="1" t="str">
        <f t="shared" si="59"/>
        <v>Normal</v>
      </c>
    </row>
    <row r="768" spans="1:12" x14ac:dyDescent="0.25">
      <c r="A768">
        <v>18</v>
      </c>
      <c r="B768">
        <v>90</v>
      </c>
      <c r="C768">
        <v>60</v>
      </c>
      <c r="D768">
        <v>6.9</v>
      </c>
      <c r="E768">
        <v>98</v>
      </c>
      <c r="F768">
        <v>70</v>
      </c>
      <c r="G768" t="s">
        <v>9</v>
      </c>
      <c r="H768" s="1" t="str">
        <f t="shared" si="55"/>
        <v>10-20</v>
      </c>
      <c r="I768" s="1" t="str">
        <f t="shared" si="56"/>
        <v>Normal</v>
      </c>
      <c r="J768" s="1" t="str">
        <f t="shared" si="57"/>
        <v>Normal</v>
      </c>
      <c r="K768" s="1" t="str">
        <f t="shared" si="58"/>
        <v>Normal</v>
      </c>
      <c r="L768" s="1" t="str">
        <f t="shared" si="59"/>
        <v>Normal</v>
      </c>
    </row>
    <row r="769" spans="1:12" x14ac:dyDescent="0.25">
      <c r="A769">
        <v>21</v>
      </c>
      <c r="B769">
        <v>120</v>
      </c>
      <c r="C769">
        <v>80</v>
      </c>
      <c r="D769">
        <v>6.9</v>
      </c>
      <c r="E769">
        <v>98</v>
      </c>
      <c r="F769">
        <v>76</v>
      </c>
      <c r="G769" t="s">
        <v>9</v>
      </c>
      <c r="H769" s="1" t="str">
        <f t="shared" si="55"/>
        <v>20-30</v>
      </c>
      <c r="I769" s="1" t="str">
        <f t="shared" si="56"/>
        <v>Pre-High</v>
      </c>
      <c r="J769" s="1" t="str">
        <f t="shared" si="57"/>
        <v>Normal</v>
      </c>
      <c r="K769" s="1" t="str">
        <f t="shared" si="58"/>
        <v>Normal</v>
      </c>
      <c r="L769" s="1" t="str">
        <f t="shared" si="59"/>
        <v>Normal</v>
      </c>
    </row>
    <row r="770" spans="1:12" x14ac:dyDescent="0.25">
      <c r="A770">
        <v>16</v>
      </c>
      <c r="B770">
        <v>100</v>
      </c>
      <c r="C770">
        <v>70</v>
      </c>
      <c r="D770">
        <v>6.9</v>
      </c>
      <c r="E770">
        <v>98</v>
      </c>
      <c r="F770">
        <v>80</v>
      </c>
      <c r="G770" t="s">
        <v>9</v>
      </c>
      <c r="H770" s="1" t="str">
        <f t="shared" si="55"/>
        <v>10-20</v>
      </c>
      <c r="I770" s="1" t="str">
        <f t="shared" si="56"/>
        <v>Normal</v>
      </c>
      <c r="J770" s="1" t="str">
        <f t="shared" si="57"/>
        <v>Normal</v>
      </c>
      <c r="K770" s="1" t="str">
        <f t="shared" si="58"/>
        <v>Normal</v>
      </c>
      <c r="L770" s="1" t="str">
        <f t="shared" si="59"/>
        <v>Normal</v>
      </c>
    </row>
    <row r="771" spans="1:12" x14ac:dyDescent="0.25">
      <c r="A771">
        <v>19</v>
      </c>
      <c r="B771">
        <v>120</v>
      </c>
      <c r="C771">
        <v>75</v>
      </c>
      <c r="D771">
        <v>6.9</v>
      </c>
      <c r="E771">
        <v>98</v>
      </c>
      <c r="F771">
        <v>66</v>
      </c>
      <c r="G771" t="s">
        <v>9</v>
      </c>
      <c r="H771" s="1" t="str">
        <f t="shared" ref="H771:H834" si="60">IF(A771&lt;=20,"10-20",
 IF(A771&lt;=30,"20-30",
 IF(A771&lt;=40,"30-40",
 IF(A771&lt;=50,"40-50","50+"))))</f>
        <v>10-20</v>
      </c>
      <c r="I771" s="1" t="str">
        <f t="shared" ref="I771:I834" si="61">IF(AND(B771&lt;90,C771&lt;60),"Low BP",
 IF(AND(B771&lt;120,C771&lt;80),"Normal",
 IF(AND(B771&lt;140,C771&lt;90),"Pre-High",
 IF(AND(B771&lt;160,C771&lt;100),"High","Critical"))))</f>
        <v>Pre-High</v>
      </c>
      <c r="J771" s="1" t="str">
        <f t="shared" ref="J771:J834" si="62">IF(D771&lt;8,"Normal",
 IF(D771&lt;12,"Slightly High","High"))</f>
        <v>Normal</v>
      </c>
      <c r="K771" s="1" t="str">
        <f t="shared" ref="K771:K834" si="63">IF(F771&lt;70,"Low",
 IF(F771&lt;=85,"Normal","High"))</f>
        <v>Low</v>
      </c>
      <c r="L771" s="1" t="str">
        <f t="shared" ref="L771:L834" si="64">IF(E771&lt;97.5,"Low",
 IF(E771&lt;=99,"Normal","High"))</f>
        <v>Normal</v>
      </c>
    </row>
    <row r="772" spans="1:12" x14ac:dyDescent="0.25">
      <c r="A772">
        <v>23</v>
      </c>
      <c r="B772">
        <v>100</v>
      </c>
      <c r="C772">
        <v>85</v>
      </c>
      <c r="D772">
        <v>6.9</v>
      </c>
      <c r="E772">
        <v>98</v>
      </c>
      <c r="F772">
        <v>66</v>
      </c>
      <c r="G772" t="s">
        <v>9</v>
      </c>
      <c r="H772" s="1" t="str">
        <f t="shared" si="60"/>
        <v>20-30</v>
      </c>
      <c r="I772" s="1" t="str">
        <f t="shared" si="61"/>
        <v>Pre-High</v>
      </c>
      <c r="J772" s="1" t="str">
        <f t="shared" si="62"/>
        <v>Normal</v>
      </c>
      <c r="K772" s="1" t="str">
        <f t="shared" si="63"/>
        <v>Low</v>
      </c>
      <c r="L772" s="1" t="str">
        <f t="shared" si="64"/>
        <v>Normal</v>
      </c>
    </row>
    <row r="773" spans="1:12" x14ac:dyDescent="0.25">
      <c r="A773">
        <v>22</v>
      </c>
      <c r="B773">
        <v>120</v>
      </c>
      <c r="C773">
        <v>90</v>
      </c>
      <c r="D773">
        <v>7.8</v>
      </c>
      <c r="E773">
        <v>98</v>
      </c>
      <c r="F773">
        <v>82</v>
      </c>
      <c r="G773" t="s">
        <v>9</v>
      </c>
      <c r="H773" s="1" t="str">
        <f t="shared" si="60"/>
        <v>20-30</v>
      </c>
      <c r="I773" s="1" t="str">
        <f t="shared" si="61"/>
        <v>High</v>
      </c>
      <c r="J773" s="1" t="str">
        <f t="shared" si="62"/>
        <v>Normal</v>
      </c>
      <c r="K773" s="1" t="str">
        <f t="shared" si="63"/>
        <v>Normal</v>
      </c>
      <c r="L773" s="1" t="str">
        <f t="shared" si="64"/>
        <v>Normal</v>
      </c>
    </row>
    <row r="774" spans="1:12" x14ac:dyDescent="0.25">
      <c r="A774">
        <v>60</v>
      </c>
      <c r="B774">
        <v>120</v>
      </c>
      <c r="C774">
        <v>85</v>
      </c>
      <c r="D774">
        <v>15</v>
      </c>
      <c r="E774">
        <v>98</v>
      </c>
      <c r="F774">
        <v>60</v>
      </c>
      <c r="G774" t="s">
        <v>9</v>
      </c>
      <c r="H774" s="1" t="str">
        <f t="shared" si="60"/>
        <v>50+</v>
      </c>
      <c r="I774" s="1" t="str">
        <f t="shared" si="61"/>
        <v>Pre-High</v>
      </c>
      <c r="J774" s="1" t="str">
        <f t="shared" si="62"/>
        <v>High</v>
      </c>
      <c r="K774" s="1" t="str">
        <f t="shared" si="63"/>
        <v>Low</v>
      </c>
      <c r="L774" s="1" t="str">
        <f t="shared" si="64"/>
        <v>Normal</v>
      </c>
    </row>
    <row r="775" spans="1:12" x14ac:dyDescent="0.25">
      <c r="A775">
        <v>13</v>
      </c>
      <c r="B775">
        <v>90</v>
      </c>
      <c r="C775">
        <v>65</v>
      </c>
      <c r="D775">
        <v>7.8</v>
      </c>
      <c r="E775">
        <v>101</v>
      </c>
      <c r="F775">
        <v>80</v>
      </c>
      <c r="G775" t="s">
        <v>9</v>
      </c>
      <c r="H775" s="1" t="str">
        <f t="shared" si="60"/>
        <v>10-20</v>
      </c>
      <c r="I775" s="1" t="str">
        <f t="shared" si="61"/>
        <v>Normal</v>
      </c>
      <c r="J775" s="1" t="str">
        <f t="shared" si="62"/>
        <v>Normal</v>
      </c>
      <c r="K775" s="1" t="str">
        <f t="shared" si="63"/>
        <v>Normal</v>
      </c>
      <c r="L775" s="1" t="str">
        <f t="shared" si="64"/>
        <v>High</v>
      </c>
    </row>
    <row r="776" spans="1:12" x14ac:dyDescent="0.25">
      <c r="A776">
        <v>23</v>
      </c>
      <c r="B776">
        <v>120</v>
      </c>
      <c r="C776">
        <v>90</v>
      </c>
      <c r="D776">
        <v>7.8</v>
      </c>
      <c r="E776">
        <v>98</v>
      </c>
      <c r="F776">
        <v>60</v>
      </c>
      <c r="G776" t="s">
        <v>9</v>
      </c>
      <c r="H776" s="1" t="str">
        <f t="shared" si="60"/>
        <v>20-30</v>
      </c>
      <c r="I776" s="1" t="str">
        <f t="shared" si="61"/>
        <v>High</v>
      </c>
      <c r="J776" s="1" t="str">
        <f t="shared" si="62"/>
        <v>Normal</v>
      </c>
      <c r="K776" s="1" t="str">
        <f t="shared" si="63"/>
        <v>Low</v>
      </c>
      <c r="L776" s="1" t="str">
        <f t="shared" si="64"/>
        <v>Normal</v>
      </c>
    </row>
    <row r="777" spans="1:12" x14ac:dyDescent="0.25">
      <c r="A777">
        <v>28</v>
      </c>
      <c r="B777">
        <v>115</v>
      </c>
      <c r="C777">
        <v>60</v>
      </c>
      <c r="D777">
        <v>7.8</v>
      </c>
      <c r="E777">
        <v>101</v>
      </c>
      <c r="F777">
        <v>86</v>
      </c>
      <c r="G777" t="s">
        <v>9</v>
      </c>
      <c r="H777" s="1" t="str">
        <f t="shared" si="60"/>
        <v>20-30</v>
      </c>
      <c r="I777" s="1" t="str">
        <f t="shared" si="61"/>
        <v>Normal</v>
      </c>
      <c r="J777" s="1" t="str">
        <f t="shared" si="62"/>
        <v>Normal</v>
      </c>
      <c r="K777" s="1" t="str">
        <f t="shared" si="63"/>
        <v>High</v>
      </c>
      <c r="L777" s="1" t="str">
        <f t="shared" si="64"/>
        <v>High</v>
      </c>
    </row>
    <row r="778" spans="1:12" x14ac:dyDescent="0.25">
      <c r="A778">
        <v>50</v>
      </c>
      <c r="B778">
        <v>120</v>
      </c>
      <c r="C778">
        <v>80</v>
      </c>
      <c r="D778">
        <v>7.8</v>
      </c>
      <c r="E778">
        <v>98</v>
      </c>
      <c r="F778">
        <v>70</v>
      </c>
      <c r="G778" t="s">
        <v>9</v>
      </c>
      <c r="H778" s="1" t="str">
        <f t="shared" si="60"/>
        <v>40-50</v>
      </c>
      <c r="I778" s="1" t="str">
        <f t="shared" si="61"/>
        <v>Pre-High</v>
      </c>
      <c r="J778" s="1" t="str">
        <f t="shared" si="62"/>
        <v>Normal</v>
      </c>
      <c r="K778" s="1" t="str">
        <f t="shared" si="63"/>
        <v>Normal</v>
      </c>
      <c r="L778" s="1" t="str">
        <f t="shared" si="64"/>
        <v>Normal</v>
      </c>
    </row>
    <row r="779" spans="1:12" x14ac:dyDescent="0.25">
      <c r="A779">
        <v>29</v>
      </c>
      <c r="B779">
        <v>130</v>
      </c>
      <c r="C779">
        <v>70</v>
      </c>
      <c r="D779">
        <v>7.8</v>
      </c>
      <c r="E779">
        <v>98</v>
      </c>
      <c r="F779">
        <v>78</v>
      </c>
      <c r="G779" t="s">
        <v>9</v>
      </c>
      <c r="H779" s="1" t="str">
        <f t="shared" si="60"/>
        <v>20-30</v>
      </c>
      <c r="I779" s="1" t="str">
        <f t="shared" si="61"/>
        <v>Pre-High</v>
      </c>
      <c r="J779" s="1" t="str">
        <f t="shared" si="62"/>
        <v>Normal</v>
      </c>
      <c r="K779" s="1" t="str">
        <f t="shared" si="63"/>
        <v>Normal</v>
      </c>
      <c r="L779" s="1" t="str">
        <f t="shared" si="64"/>
        <v>Normal</v>
      </c>
    </row>
    <row r="780" spans="1:12" x14ac:dyDescent="0.25">
      <c r="A780">
        <v>19</v>
      </c>
      <c r="B780">
        <v>120</v>
      </c>
      <c r="C780">
        <v>80</v>
      </c>
      <c r="D780">
        <v>7</v>
      </c>
      <c r="E780">
        <v>98</v>
      </c>
      <c r="F780">
        <v>70</v>
      </c>
      <c r="G780" t="s">
        <v>9</v>
      </c>
      <c r="H780" s="1" t="str">
        <f t="shared" si="60"/>
        <v>10-20</v>
      </c>
      <c r="I780" s="1" t="str">
        <f t="shared" si="61"/>
        <v>Pre-High</v>
      </c>
      <c r="J780" s="1" t="str">
        <f t="shared" si="62"/>
        <v>Normal</v>
      </c>
      <c r="K780" s="1" t="str">
        <f t="shared" si="63"/>
        <v>Normal</v>
      </c>
      <c r="L780" s="1" t="str">
        <f t="shared" si="64"/>
        <v>Normal</v>
      </c>
    </row>
    <row r="781" spans="1:12" x14ac:dyDescent="0.25">
      <c r="A781">
        <v>19</v>
      </c>
      <c r="B781">
        <v>120</v>
      </c>
      <c r="C781">
        <v>85</v>
      </c>
      <c r="D781">
        <v>7.8</v>
      </c>
      <c r="E781">
        <v>98</v>
      </c>
      <c r="F781">
        <v>60</v>
      </c>
      <c r="G781" t="s">
        <v>9</v>
      </c>
      <c r="H781" s="1" t="str">
        <f t="shared" si="60"/>
        <v>10-20</v>
      </c>
      <c r="I781" s="1" t="str">
        <f t="shared" si="61"/>
        <v>Pre-High</v>
      </c>
      <c r="J781" s="1" t="str">
        <f t="shared" si="62"/>
        <v>Normal</v>
      </c>
      <c r="K781" s="1" t="str">
        <f t="shared" si="63"/>
        <v>Low</v>
      </c>
      <c r="L781" s="1" t="str">
        <f t="shared" si="64"/>
        <v>Normal</v>
      </c>
    </row>
    <row r="782" spans="1:12" x14ac:dyDescent="0.25">
      <c r="A782">
        <v>60</v>
      </c>
      <c r="B782">
        <v>90</v>
      </c>
      <c r="C782">
        <v>65</v>
      </c>
      <c r="D782">
        <v>6.8</v>
      </c>
      <c r="E782">
        <v>98</v>
      </c>
      <c r="F782">
        <v>77</v>
      </c>
      <c r="G782" t="s">
        <v>9</v>
      </c>
      <c r="H782" s="1" t="str">
        <f t="shared" si="60"/>
        <v>50+</v>
      </c>
      <c r="I782" s="1" t="str">
        <f t="shared" si="61"/>
        <v>Normal</v>
      </c>
      <c r="J782" s="1" t="str">
        <f t="shared" si="62"/>
        <v>Normal</v>
      </c>
      <c r="K782" s="1" t="str">
        <f t="shared" si="63"/>
        <v>Normal</v>
      </c>
      <c r="L782" s="1" t="str">
        <f t="shared" si="64"/>
        <v>Normal</v>
      </c>
    </row>
    <row r="783" spans="1:12" x14ac:dyDescent="0.25">
      <c r="A783">
        <v>55</v>
      </c>
      <c r="B783">
        <v>120</v>
      </c>
      <c r="C783">
        <v>90</v>
      </c>
      <c r="D783">
        <v>6.8</v>
      </c>
      <c r="E783">
        <v>98</v>
      </c>
      <c r="F783">
        <v>66</v>
      </c>
      <c r="G783" t="s">
        <v>9</v>
      </c>
      <c r="H783" s="1" t="str">
        <f t="shared" si="60"/>
        <v>50+</v>
      </c>
      <c r="I783" s="1" t="str">
        <f t="shared" si="61"/>
        <v>High</v>
      </c>
      <c r="J783" s="1" t="str">
        <f t="shared" si="62"/>
        <v>Normal</v>
      </c>
      <c r="K783" s="1" t="str">
        <f t="shared" si="63"/>
        <v>Low</v>
      </c>
      <c r="L783" s="1" t="str">
        <f t="shared" si="64"/>
        <v>Normal</v>
      </c>
    </row>
    <row r="784" spans="1:12" x14ac:dyDescent="0.25">
      <c r="A784">
        <v>25</v>
      </c>
      <c r="B784">
        <v>120</v>
      </c>
      <c r="C784">
        <v>80</v>
      </c>
      <c r="D784">
        <v>6.8</v>
      </c>
      <c r="E784">
        <v>98</v>
      </c>
      <c r="F784">
        <v>66</v>
      </c>
      <c r="G784" t="s">
        <v>9</v>
      </c>
      <c r="H784" s="1" t="str">
        <f t="shared" si="60"/>
        <v>20-30</v>
      </c>
      <c r="I784" s="1" t="str">
        <f t="shared" si="61"/>
        <v>Pre-High</v>
      </c>
      <c r="J784" s="1" t="str">
        <f t="shared" si="62"/>
        <v>Normal</v>
      </c>
      <c r="K784" s="1" t="str">
        <f t="shared" si="63"/>
        <v>Low</v>
      </c>
      <c r="L784" s="1" t="str">
        <f t="shared" si="64"/>
        <v>Normal</v>
      </c>
    </row>
    <row r="785" spans="1:12" x14ac:dyDescent="0.25">
      <c r="A785">
        <v>12</v>
      </c>
      <c r="B785">
        <v>120</v>
      </c>
      <c r="C785">
        <v>95</v>
      </c>
      <c r="D785">
        <v>6.8</v>
      </c>
      <c r="E785">
        <v>98</v>
      </c>
      <c r="F785">
        <v>60</v>
      </c>
      <c r="G785" t="s">
        <v>9</v>
      </c>
      <c r="H785" s="1" t="str">
        <f t="shared" si="60"/>
        <v>10-20</v>
      </c>
      <c r="I785" s="1" t="str">
        <f t="shared" si="61"/>
        <v>High</v>
      </c>
      <c r="J785" s="1" t="str">
        <f t="shared" si="62"/>
        <v>Normal</v>
      </c>
      <c r="K785" s="1" t="str">
        <f t="shared" si="63"/>
        <v>Low</v>
      </c>
      <c r="L785" s="1" t="str">
        <f t="shared" si="64"/>
        <v>Normal</v>
      </c>
    </row>
    <row r="786" spans="1:12" x14ac:dyDescent="0.25">
      <c r="A786">
        <v>35</v>
      </c>
      <c r="B786">
        <v>100</v>
      </c>
      <c r="C786">
        <v>70</v>
      </c>
      <c r="D786">
        <v>6.8</v>
      </c>
      <c r="E786">
        <v>98</v>
      </c>
      <c r="F786">
        <v>60</v>
      </c>
      <c r="G786" t="s">
        <v>9</v>
      </c>
      <c r="H786" s="1" t="str">
        <f t="shared" si="60"/>
        <v>30-40</v>
      </c>
      <c r="I786" s="1" t="str">
        <f t="shared" si="61"/>
        <v>Normal</v>
      </c>
      <c r="J786" s="1" t="str">
        <f t="shared" si="62"/>
        <v>Normal</v>
      </c>
      <c r="K786" s="1" t="str">
        <f t="shared" si="63"/>
        <v>Low</v>
      </c>
      <c r="L786" s="1" t="str">
        <f t="shared" si="64"/>
        <v>Normal</v>
      </c>
    </row>
    <row r="787" spans="1:12" x14ac:dyDescent="0.25">
      <c r="A787">
        <v>19</v>
      </c>
      <c r="B787">
        <v>120</v>
      </c>
      <c r="C787">
        <v>90</v>
      </c>
      <c r="D787">
        <v>6.8</v>
      </c>
      <c r="E787">
        <v>98</v>
      </c>
      <c r="F787">
        <v>60</v>
      </c>
      <c r="G787" t="s">
        <v>9</v>
      </c>
      <c r="H787" s="1" t="str">
        <f t="shared" si="60"/>
        <v>10-20</v>
      </c>
      <c r="I787" s="1" t="str">
        <f t="shared" si="61"/>
        <v>High</v>
      </c>
      <c r="J787" s="1" t="str">
        <f t="shared" si="62"/>
        <v>Normal</v>
      </c>
      <c r="K787" s="1" t="str">
        <f t="shared" si="63"/>
        <v>Low</v>
      </c>
      <c r="L787" s="1" t="str">
        <f t="shared" si="64"/>
        <v>Normal</v>
      </c>
    </row>
    <row r="788" spans="1:12" x14ac:dyDescent="0.25">
      <c r="A788">
        <v>60</v>
      </c>
      <c r="B788">
        <v>90</v>
      </c>
      <c r="C788">
        <v>65</v>
      </c>
      <c r="D788">
        <v>6.8</v>
      </c>
      <c r="E788">
        <v>98</v>
      </c>
      <c r="F788">
        <v>77</v>
      </c>
      <c r="G788" t="s">
        <v>9</v>
      </c>
      <c r="H788" s="1" t="str">
        <f t="shared" si="60"/>
        <v>50+</v>
      </c>
      <c r="I788" s="1" t="str">
        <f t="shared" si="61"/>
        <v>Normal</v>
      </c>
      <c r="J788" s="1" t="str">
        <f t="shared" si="62"/>
        <v>Normal</v>
      </c>
      <c r="K788" s="1" t="str">
        <f t="shared" si="63"/>
        <v>Normal</v>
      </c>
      <c r="L788" s="1" t="str">
        <f t="shared" si="64"/>
        <v>Normal</v>
      </c>
    </row>
    <row r="789" spans="1:12" x14ac:dyDescent="0.25">
      <c r="A789">
        <v>50</v>
      </c>
      <c r="B789">
        <v>130</v>
      </c>
      <c r="C789">
        <v>80</v>
      </c>
      <c r="D789">
        <v>16</v>
      </c>
      <c r="E789">
        <v>102</v>
      </c>
      <c r="F789">
        <v>76</v>
      </c>
      <c r="G789" t="s">
        <v>9</v>
      </c>
      <c r="H789" s="1" t="str">
        <f t="shared" si="60"/>
        <v>40-50</v>
      </c>
      <c r="I789" s="1" t="str">
        <f t="shared" si="61"/>
        <v>Pre-High</v>
      </c>
      <c r="J789" s="1" t="str">
        <f t="shared" si="62"/>
        <v>High</v>
      </c>
      <c r="K789" s="1" t="str">
        <f t="shared" si="63"/>
        <v>Normal</v>
      </c>
      <c r="L789" s="1" t="str">
        <f t="shared" si="64"/>
        <v>High</v>
      </c>
    </row>
    <row r="790" spans="1:12" x14ac:dyDescent="0.25">
      <c r="A790">
        <v>27</v>
      </c>
      <c r="B790">
        <v>120</v>
      </c>
      <c r="C790">
        <v>90</v>
      </c>
      <c r="D790">
        <v>6.8</v>
      </c>
      <c r="E790">
        <v>102</v>
      </c>
      <c r="F790">
        <v>68</v>
      </c>
      <c r="G790" t="s">
        <v>9</v>
      </c>
      <c r="H790" s="1" t="str">
        <f t="shared" si="60"/>
        <v>20-30</v>
      </c>
      <c r="I790" s="1" t="str">
        <f t="shared" si="61"/>
        <v>High</v>
      </c>
      <c r="J790" s="1" t="str">
        <f t="shared" si="62"/>
        <v>Normal</v>
      </c>
      <c r="K790" s="1" t="str">
        <f t="shared" si="63"/>
        <v>Low</v>
      </c>
      <c r="L790" s="1" t="str">
        <f t="shared" si="64"/>
        <v>High</v>
      </c>
    </row>
    <row r="791" spans="1:12" x14ac:dyDescent="0.25">
      <c r="A791">
        <v>55</v>
      </c>
      <c r="B791">
        <v>100</v>
      </c>
      <c r="C791">
        <v>70</v>
      </c>
      <c r="D791">
        <v>6.8</v>
      </c>
      <c r="E791">
        <v>101</v>
      </c>
      <c r="F791">
        <v>80</v>
      </c>
      <c r="G791" t="s">
        <v>9</v>
      </c>
      <c r="H791" s="1" t="str">
        <f t="shared" si="60"/>
        <v>50+</v>
      </c>
      <c r="I791" s="1" t="str">
        <f t="shared" si="61"/>
        <v>Normal</v>
      </c>
      <c r="J791" s="1" t="str">
        <f t="shared" si="62"/>
        <v>Normal</v>
      </c>
      <c r="K791" s="1" t="str">
        <f t="shared" si="63"/>
        <v>Normal</v>
      </c>
      <c r="L791" s="1" t="str">
        <f t="shared" si="64"/>
        <v>High</v>
      </c>
    </row>
    <row r="792" spans="1:12" x14ac:dyDescent="0.25">
      <c r="A792">
        <v>12</v>
      </c>
      <c r="B792">
        <v>120</v>
      </c>
      <c r="C792">
        <v>90</v>
      </c>
      <c r="D792">
        <v>6.8</v>
      </c>
      <c r="E792">
        <v>98</v>
      </c>
      <c r="F792">
        <v>80</v>
      </c>
      <c r="G792" t="s">
        <v>9</v>
      </c>
      <c r="H792" s="1" t="str">
        <f t="shared" si="60"/>
        <v>10-20</v>
      </c>
      <c r="I792" s="1" t="str">
        <f t="shared" si="61"/>
        <v>High</v>
      </c>
      <c r="J792" s="1" t="str">
        <f t="shared" si="62"/>
        <v>Normal</v>
      </c>
      <c r="K792" s="1" t="str">
        <f t="shared" si="63"/>
        <v>Normal</v>
      </c>
      <c r="L792" s="1" t="str">
        <f t="shared" si="64"/>
        <v>Normal</v>
      </c>
    </row>
    <row r="793" spans="1:12" x14ac:dyDescent="0.25">
      <c r="A793">
        <v>60</v>
      </c>
      <c r="B793">
        <v>120</v>
      </c>
      <c r="C793">
        <v>80</v>
      </c>
      <c r="D793">
        <v>6.8</v>
      </c>
      <c r="E793">
        <v>98</v>
      </c>
      <c r="F793">
        <v>77</v>
      </c>
      <c r="G793" t="s">
        <v>9</v>
      </c>
      <c r="H793" s="1" t="str">
        <f t="shared" si="60"/>
        <v>50+</v>
      </c>
      <c r="I793" s="1" t="str">
        <f t="shared" si="61"/>
        <v>Pre-High</v>
      </c>
      <c r="J793" s="1" t="str">
        <f t="shared" si="62"/>
        <v>Normal</v>
      </c>
      <c r="K793" s="1" t="str">
        <f t="shared" si="63"/>
        <v>Normal</v>
      </c>
      <c r="L793" s="1" t="str">
        <f t="shared" si="64"/>
        <v>Normal</v>
      </c>
    </row>
    <row r="794" spans="1:12" x14ac:dyDescent="0.25">
      <c r="A794">
        <v>25</v>
      </c>
      <c r="B794">
        <v>120</v>
      </c>
      <c r="C794">
        <v>100</v>
      </c>
      <c r="D794">
        <v>6.8</v>
      </c>
      <c r="E794">
        <v>98</v>
      </c>
      <c r="F794">
        <v>60</v>
      </c>
      <c r="G794" t="s">
        <v>9</v>
      </c>
      <c r="H794" s="1" t="str">
        <f t="shared" si="60"/>
        <v>20-30</v>
      </c>
      <c r="I794" s="1" t="str">
        <f t="shared" si="61"/>
        <v>Critical</v>
      </c>
      <c r="J794" s="1" t="str">
        <f t="shared" si="62"/>
        <v>Normal</v>
      </c>
      <c r="K794" s="1" t="str">
        <f t="shared" si="63"/>
        <v>Low</v>
      </c>
      <c r="L794" s="1" t="str">
        <f t="shared" si="64"/>
        <v>Normal</v>
      </c>
    </row>
    <row r="795" spans="1:12" x14ac:dyDescent="0.25">
      <c r="A795">
        <v>22</v>
      </c>
      <c r="B795">
        <v>90</v>
      </c>
      <c r="C795">
        <v>60</v>
      </c>
      <c r="D795">
        <v>6.8</v>
      </c>
      <c r="E795">
        <v>98</v>
      </c>
      <c r="F795">
        <v>77</v>
      </c>
      <c r="G795" t="s">
        <v>9</v>
      </c>
      <c r="H795" s="1" t="str">
        <f t="shared" si="60"/>
        <v>20-30</v>
      </c>
      <c r="I795" s="1" t="str">
        <f t="shared" si="61"/>
        <v>Normal</v>
      </c>
      <c r="J795" s="1" t="str">
        <f t="shared" si="62"/>
        <v>Normal</v>
      </c>
      <c r="K795" s="1" t="str">
        <f t="shared" si="63"/>
        <v>Normal</v>
      </c>
      <c r="L795" s="1" t="str">
        <f t="shared" si="64"/>
        <v>Normal</v>
      </c>
    </row>
    <row r="796" spans="1:12" x14ac:dyDescent="0.25">
      <c r="A796">
        <v>30</v>
      </c>
      <c r="B796">
        <v>120</v>
      </c>
      <c r="C796">
        <v>80</v>
      </c>
      <c r="D796">
        <v>6.8</v>
      </c>
      <c r="E796">
        <v>98</v>
      </c>
      <c r="F796">
        <v>70</v>
      </c>
      <c r="G796" t="s">
        <v>9</v>
      </c>
      <c r="H796" s="1" t="str">
        <f t="shared" si="60"/>
        <v>20-30</v>
      </c>
      <c r="I796" s="1" t="str">
        <f t="shared" si="61"/>
        <v>Pre-High</v>
      </c>
      <c r="J796" s="1" t="str">
        <f t="shared" si="62"/>
        <v>Normal</v>
      </c>
      <c r="K796" s="1" t="str">
        <f t="shared" si="63"/>
        <v>Normal</v>
      </c>
      <c r="L796" s="1" t="str">
        <f t="shared" si="64"/>
        <v>Normal</v>
      </c>
    </row>
    <row r="797" spans="1:12" x14ac:dyDescent="0.25">
      <c r="A797">
        <v>35</v>
      </c>
      <c r="B797">
        <v>120</v>
      </c>
      <c r="C797">
        <v>60</v>
      </c>
      <c r="D797">
        <v>6.1</v>
      </c>
      <c r="E797">
        <v>98</v>
      </c>
      <c r="F797">
        <v>76</v>
      </c>
      <c r="G797" t="s">
        <v>9</v>
      </c>
      <c r="H797" s="1" t="str">
        <f t="shared" si="60"/>
        <v>30-40</v>
      </c>
      <c r="I797" s="1" t="str">
        <f t="shared" si="61"/>
        <v>Pre-High</v>
      </c>
      <c r="J797" s="1" t="str">
        <f t="shared" si="62"/>
        <v>Normal</v>
      </c>
      <c r="K797" s="1" t="str">
        <f t="shared" si="63"/>
        <v>Normal</v>
      </c>
      <c r="L797" s="1" t="str">
        <f t="shared" si="64"/>
        <v>Normal</v>
      </c>
    </row>
    <row r="798" spans="1:12" x14ac:dyDescent="0.25">
      <c r="A798">
        <v>23</v>
      </c>
      <c r="B798">
        <v>130</v>
      </c>
      <c r="C798">
        <v>70</v>
      </c>
      <c r="D798">
        <v>6.8</v>
      </c>
      <c r="E798">
        <v>98</v>
      </c>
      <c r="F798">
        <v>78</v>
      </c>
      <c r="G798" t="s">
        <v>9</v>
      </c>
      <c r="H798" s="1" t="str">
        <f t="shared" si="60"/>
        <v>20-30</v>
      </c>
      <c r="I798" s="1" t="str">
        <f t="shared" si="61"/>
        <v>Pre-High</v>
      </c>
      <c r="J798" s="1" t="str">
        <f t="shared" si="62"/>
        <v>Normal</v>
      </c>
      <c r="K798" s="1" t="str">
        <f t="shared" si="63"/>
        <v>Normal</v>
      </c>
      <c r="L798" s="1" t="str">
        <f t="shared" si="64"/>
        <v>Normal</v>
      </c>
    </row>
    <row r="799" spans="1:12" x14ac:dyDescent="0.25">
      <c r="A799">
        <v>43</v>
      </c>
      <c r="B799">
        <v>130</v>
      </c>
      <c r="C799">
        <v>80</v>
      </c>
      <c r="D799">
        <v>18</v>
      </c>
      <c r="E799">
        <v>98</v>
      </c>
      <c r="F799">
        <v>70</v>
      </c>
      <c r="G799" t="s">
        <v>9</v>
      </c>
      <c r="H799" s="1" t="str">
        <f t="shared" si="60"/>
        <v>40-50</v>
      </c>
      <c r="I799" s="1" t="str">
        <f t="shared" si="61"/>
        <v>Pre-High</v>
      </c>
      <c r="J799" s="1" t="str">
        <f t="shared" si="62"/>
        <v>High</v>
      </c>
      <c r="K799" s="1" t="str">
        <f t="shared" si="63"/>
        <v>Normal</v>
      </c>
      <c r="L799" s="1" t="str">
        <f t="shared" si="64"/>
        <v>Normal</v>
      </c>
    </row>
    <row r="800" spans="1:12" x14ac:dyDescent="0.25">
      <c r="A800">
        <v>19</v>
      </c>
      <c r="B800">
        <v>120</v>
      </c>
      <c r="C800">
        <v>80</v>
      </c>
      <c r="D800">
        <v>7</v>
      </c>
      <c r="E800">
        <v>98</v>
      </c>
      <c r="F800">
        <v>70</v>
      </c>
      <c r="G800" t="s">
        <v>9</v>
      </c>
      <c r="H800" s="1" t="str">
        <f t="shared" si="60"/>
        <v>10-20</v>
      </c>
      <c r="I800" s="1" t="str">
        <f t="shared" si="61"/>
        <v>Pre-High</v>
      </c>
      <c r="J800" s="1" t="str">
        <f t="shared" si="62"/>
        <v>Normal</v>
      </c>
      <c r="K800" s="1" t="str">
        <f t="shared" si="63"/>
        <v>Normal</v>
      </c>
      <c r="L800" s="1" t="str">
        <f t="shared" si="64"/>
        <v>Normal</v>
      </c>
    </row>
    <row r="801" spans="1:12" x14ac:dyDescent="0.25">
      <c r="A801">
        <v>30</v>
      </c>
      <c r="B801">
        <v>120</v>
      </c>
      <c r="C801">
        <v>75</v>
      </c>
      <c r="D801">
        <v>6.8</v>
      </c>
      <c r="E801">
        <v>98</v>
      </c>
      <c r="F801">
        <v>70</v>
      </c>
      <c r="G801" t="s">
        <v>9</v>
      </c>
      <c r="H801" s="1" t="str">
        <f t="shared" si="60"/>
        <v>20-30</v>
      </c>
      <c r="I801" s="1" t="str">
        <f t="shared" si="61"/>
        <v>Pre-High</v>
      </c>
      <c r="J801" s="1" t="str">
        <f t="shared" si="62"/>
        <v>Normal</v>
      </c>
      <c r="K801" s="1" t="str">
        <f t="shared" si="63"/>
        <v>Normal</v>
      </c>
      <c r="L801" s="1" t="str">
        <f t="shared" si="64"/>
        <v>Normal</v>
      </c>
    </row>
    <row r="802" spans="1:12" x14ac:dyDescent="0.25">
      <c r="A802">
        <v>32</v>
      </c>
      <c r="B802">
        <v>120</v>
      </c>
      <c r="C802">
        <v>80</v>
      </c>
      <c r="D802">
        <v>6.8</v>
      </c>
      <c r="E802">
        <v>98</v>
      </c>
      <c r="F802">
        <v>70</v>
      </c>
      <c r="G802" t="s">
        <v>9</v>
      </c>
      <c r="H802" s="1" t="str">
        <f t="shared" si="60"/>
        <v>30-40</v>
      </c>
      <c r="I802" s="1" t="str">
        <f t="shared" si="61"/>
        <v>Pre-High</v>
      </c>
      <c r="J802" s="1" t="str">
        <f t="shared" si="62"/>
        <v>Normal</v>
      </c>
      <c r="K802" s="1" t="str">
        <f t="shared" si="63"/>
        <v>Normal</v>
      </c>
      <c r="L802" s="1" t="str">
        <f t="shared" si="64"/>
        <v>Normal</v>
      </c>
    </row>
    <row r="803" spans="1:12" x14ac:dyDescent="0.25">
      <c r="A803">
        <v>23</v>
      </c>
      <c r="B803">
        <v>130</v>
      </c>
      <c r="C803">
        <v>70</v>
      </c>
      <c r="D803">
        <v>6.8</v>
      </c>
      <c r="E803">
        <v>98</v>
      </c>
      <c r="F803">
        <v>78</v>
      </c>
      <c r="G803" t="s">
        <v>9</v>
      </c>
      <c r="H803" s="1" t="str">
        <f t="shared" si="60"/>
        <v>20-30</v>
      </c>
      <c r="I803" s="1" t="str">
        <f t="shared" si="61"/>
        <v>Pre-High</v>
      </c>
      <c r="J803" s="1" t="str">
        <f t="shared" si="62"/>
        <v>Normal</v>
      </c>
      <c r="K803" s="1" t="str">
        <f t="shared" si="63"/>
        <v>Normal</v>
      </c>
      <c r="L803" s="1" t="str">
        <f t="shared" si="64"/>
        <v>Normal</v>
      </c>
    </row>
    <row r="804" spans="1:12" x14ac:dyDescent="0.25">
      <c r="A804">
        <v>42</v>
      </c>
      <c r="B804">
        <v>130</v>
      </c>
      <c r="C804">
        <v>80</v>
      </c>
      <c r="D804">
        <v>18</v>
      </c>
      <c r="E804">
        <v>98</v>
      </c>
      <c r="F804">
        <v>70</v>
      </c>
      <c r="G804" t="s">
        <v>9</v>
      </c>
      <c r="H804" s="1" t="str">
        <f t="shared" si="60"/>
        <v>40-50</v>
      </c>
      <c r="I804" s="1" t="str">
        <f t="shared" si="61"/>
        <v>Pre-High</v>
      </c>
      <c r="J804" s="1" t="str">
        <f t="shared" si="62"/>
        <v>High</v>
      </c>
      <c r="K804" s="1" t="str">
        <f t="shared" si="63"/>
        <v>Normal</v>
      </c>
      <c r="L804" s="1" t="str">
        <f t="shared" si="64"/>
        <v>Normal</v>
      </c>
    </row>
    <row r="805" spans="1:12" x14ac:dyDescent="0.25">
      <c r="A805">
        <v>19</v>
      </c>
      <c r="B805">
        <v>120</v>
      </c>
      <c r="C805">
        <v>80</v>
      </c>
      <c r="D805">
        <v>7</v>
      </c>
      <c r="E805">
        <v>98</v>
      </c>
      <c r="F805">
        <v>70</v>
      </c>
      <c r="G805" t="s">
        <v>9</v>
      </c>
      <c r="H805" s="1" t="str">
        <f t="shared" si="60"/>
        <v>10-20</v>
      </c>
      <c r="I805" s="1" t="str">
        <f t="shared" si="61"/>
        <v>Pre-High</v>
      </c>
      <c r="J805" s="1" t="str">
        <f t="shared" si="62"/>
        <v>Normal</v>
      </c>
      <c r="K805" s="1" t="str">
        <f t="shared" si="63"/>
        <v>Normal</v>
      </c>
      <c r="L805" s="1" t="str">
        <f t="shared" si="64"/>
        <v>Normal</v>
      </c>
    </row>
    <row r="806" spans="1:12" x14ac:dyDescent="0.25">
      <c r="A806">
        <v>31</v>
      </c>
      <c r="B806">
        <v>110</v>
      </c>
      <c r="C806">
        <v>90</v>
      </c>
      <c r="D806">
        <v>6.8</v>
      </c>
      <c r="E806">
        <v>100</v>
      </c>
      <c r="F806">
        <v>70</v>
      </c>
      <c r="G806" t="s">
        <v>9</v>
      </c>
      <c r="H806" s="1" t="str">
        <f t="shared" si="60"/>
        <v>30-40</v>
      </c>
      <c r="I806" s="1" t="str">
        <f t="shared" si="61"/>
        <v>High</v>
      </c>
      <c r="J806" s="1" t="str">
        <f t="shared" si="62"/>
        <v>Normal</v>
      </c>
      <c r="K806" s="1" t="str">
        <f t="shared" si="63"/>
        <v>Normal</v>
      </c>
      <c r="L806" s="1" t="str">
        <f t="shared" si="64"/>
        <v>High</v>
      </c>
    </row>
    <row r="807" spans="1:12" x14ac:dyDescent="0.25">
      <c r="A807">
        <v>19</v>
      </c>
      <c r="B807">
        <v>120</v>
      </c>
      <c r="C807">
        <v>80</v>
      </c>
      <c r="D807">
        <v>7</v>
      </c>
      <c r="E807">
        <v>98</v>
      </c>
      <c r="F807">
        <v>70</v>
      </c>
      <c r="G807" t="s">
        <v>9</v>
      </c>
      <c r="H807" s="1" t="str">
        <f t="shared" si="60"/>
        <v>10-20</v>
      </c>
      <c r="I807" s="1" t="str">
        <f t="shared" si="61"/>
        <v>Pre-High</v>
      </c>
      <c r="J807" s="1" t="str">
        <f t="shared" si="62"/>
        <v>Normal</v>
      </c>
      <c r="K807" s="1" t="str">
        <f t="shared" si="63"/>
        <v>Normal</v>
      </c>
      <c r="L807" s="1" t="str">
        <f t="shared" si="64"/>
        <v>Normal</v>
      </c>
    </row>
    <row r="808" spans="1:12" x14ac:dyDescent="0.25">
      <c r="A808">
        <v>25</v>
      </c>
      <c r="B808">
        <v>120</v>
      </c>
      <c r="C808">
        <v>80</v>
      </c>
      <c r="D808">
        <v>7.9</v>
      </c>
      <c r="E808">
        <v>98</v>
      </c>
      <c r="F808">
        <v>66</v>
      </c>
      <c r="G808" t="s">
        <v>9</v>
      </c>
      <c r="H808" s="1" t="str">
        <f t="shared" si="60"/>
        <v>20-30</v>
      </c>
      <c r="I808" s="1" t="str">
        <f t="shared" si="61"/>
        <v>Pre-High</v>
      </c>
      <c r="J808" s="1" t="str">
        <f t="shared" si="62"/>
        <v>Normal</v>
      </c>
      <c r="K808" s="1" t="str">
        <f t="shared" si="63"/>
        <v>Low</v>
      </c>
      <c r="L808" s="1" t="str">
        <f t="shared" si="64"/>
        <v>Normal</v>
      </c>
    </row>
    <row r="809" spans="1:12" x14ac:dyDescent="0.25">
      <c r="A809">
        <v>31</v>
      </c>
      <c r="B809">
        <v>120</v>
      </c>
      <c r="C809">
        <v>60</v>
      </c>
      <c r="D809">
        <v>6.1</v>
      </c>
      <c r="E809">
        <v>98</v>
      </c>
      <c r="F809">
        <v>76</v>
      </c>
      <c r="G809" t="s">
        <v>9</v>
      </c>
      <c r="H809" s="1" t="str">
        <f t="shared" si="60"/>
        <v>30-40</v>
      </c>
      <c r="I809" s="1" t="str">
        <f t="shared" si="61"/>
        <v>Pre-High</v>
      </c>
      <c r="J809" s="1" t="str">
        <f t="shared" si="62"/>
        <v>Normal</v>
      </c>
      <c r="K809" s="1" t="str">
        <f t="shared" si="63"/>
        <v>Normal</v>
      </c>
      <c r="L809" s="1" t="str">
        <f t="shared" si="64"/>
        <v>Normal</v>
      </c>
    </row>
    <row r="810" spans="1:12" x14ac:dyDescent="0.25">
      <c r="A810">
        <v>23</v>
      </c>
      <c r="B810">
        <v>120</v>
      </c>
      <c r="C810">
        <v>90</v>
      </c>
      <c r="D810">
        <v>7.9</v>
      </c>
      <c r="E810">
        <v>98</v>
      </c>
      <c r="F810">
        <v>70</v>
      </c>
      <c r="G810" t="s">
        <v>9</v>
      </c>
      <c r="H810" s="1" t="str">
        <f t="shared" si="60"/>
        <v>20-30</v>
      </c>
      <c r="I810" s="1" t="str">
        <f t="shared" si="61"/>
        <v>High</v>
      </c>
      <c r="J810" s="1" t="str">
        <f t="shared" si="62"/>
        <v>Normal</v>
      </c>
      <c r="K810" s="1" t="str">
        <f t="shared" si="63"/>
        <v>Normal</v>
      </c>
      <c r="L810" s="1" t="str">
        <f t="shared" si="64"/>
        <v>Normal</v>
      </c>
    </row>
    <row r="811" spans="1:12" x14ac:dyDescent="0.25">
      <c r="A811">
        <v>29</v>
      </c>
      <c r="B811">
        <v>130</v>
      </c>
      <c r="C811">
        <v>70</v>
      </c>
      <c r="D811">
        <v>7.9</v>
      </c>
      <c r="E811">
        <v>98</v>
      </c>
      <c r="F811">
        <v>78</v>
      </c>
      <c r="G811" t="s">
        <v>9</v>
      </c>
      <c r="H811" s="1" t="str">
        <f t="shared" si="60"/>
        <v>20-30</v>
      </c>
      <c r="I811" s="1" t="str">
        <f t="shared" si="61"/>
        <v>Pre-High</v>
      </c>
      <c r="J811" s="1" t="str">
        <f t="shared" si="62"/>
        <v>Normal</v>
      </c>
      <c r="K811" s="1" t="str">
        <f t="shared" si="63"/>
        <v>Normal</v>
      </c>
      <c r="L811" s="1" t="str">
        <f t="shared" si="64"/>
        <v>Normal</v>
      </c>
    </row>
    <row r="812" spans="1:12" x14ac:dyDescent="0.25">
      <c r="A812">
        <v>48</v>
      </c>
      <c r="B812">
        <v>120</v>
      </c>
      <c r="C812">
        <v>80</v>
      </c>
      <c r="D812">
        <v>11</v>
      </c>
      <c r="E812">
        <v>98</v>
      </c>
      <c r="F812">
        <v>88</v>
      </c>
      <c r="G812" t="s">
        <v>9</v>
      </c>
      <c r="H812" s="1" t="str">
        <f t="shared" si="60"/>
        <v>40-50</v>
      </c>
      <c r="I812" s="1" t="str">
        <f t="shared" si="61"/>
        <v>Pre-High</v>
      </c>
      <c r="J812" s="1" t="str">
        <f t="shared" si="62"/>
        <v>Slightly High</v>
      </c>
      <c r="K812" s="1" t="str">
        <f t="shared" si="63"/>
        <v>High</v>
      </c>
      <c r="L812" s="1" t="str">
        <f t="shared" si="64"/>
        <v>Normal</v>
      </c>
    </row>
    <row r="813" spans="1:12" x14ac:dyDescent="0.25">
      <c r="A813">
        <v>18</v>
      </c>
      <c r="B813">
        <v>120</v>
      </c>
      <c r="C813">
        <v>80</v>
      </c>
      <c r="D813">
        <v>7.9</v>
      </c>
      <c r="E813">
        <v>102</v>
      </c>
      <c r="F813">
        <v>76</v>
      </c>
      <c r="G813" t="s">
        <v>9</v>
      </c>
      <c r="H813" s="1" t="str">
        <f t="shared" si="60"/>
        <v>10-20</v>
      </c>
      <c r="I813" s="1" t="str">
        <f t="shared" si="61"/>
        <v>Pre-High</v>
      </c>
      <c r="J813" s="1" t="str">
        <f t="shared" si="62"/>
        <v>Normal</v>
      </c>
      <c r="K813" s="1" t="str">
        <f t="shared" si="63"/>
        <v>Normal</v>
      </c>
      <c r="L813" s="1" t="str">
        <f t="shared" si="64"/>
        <v>High</v>
      </c>
    </row>
    <row r="814" spans="1:12" x14ac:dyDescent="0.25">
      <c r="A814">
        <v>18</v>
      </c>
      <c r="B814">
        <v>85</v>
      </c>
      <c r="C814">
        <v>60</v>
      </c>
      <c r="D814">
        <v>7.5</v>
      </c>
      <c r="E814">
        <v>101</v>
      </c>
      <c r="F814">
        <v>86</v>
      </c>
      <c r="G814" t="s">
        <v>9</v>
      </c>
      <c r="H814" s="1" t="str">
        <f t="shared" si="60"/>
        <v>10-20</v>
      </c>
      <c r="I814" s="1" t="str">
        <f t="shared" si="61"/>
        <v>Normal</v>
      </c>
      <c r="J814" s="1" t="str">
        <f t="shared" si="62"/>
        <v>Normal</v>
      </c>
      <c r="K814" s="1" t="str">
        <f t="shared" si="63"/>
        <v>High</v>
      </c>
      <c r="L814" s="1" t="str">
        <f t="shared" si="64"/>
        <v>High</v>
      </c>
    </row>
    <row r="815" spans="1:12" x14ac:dyDescent="0.25">
      <c r="A815">
        <v>29</v>
      </c>
      <c r="B815">
        <v>130</v>
      </c>
      <c r="C815">
        <v>70</v>
      </c>
      <c r="D815">
        <v>7.5</v>
      </c>
      <c r="E815">
        <v>98</v>
      </c>
      <c r="F815">
        <v>78</v>
      </c>
      <c r="G815" t="s">
        <v>9</v>
      </c>
      <c r="H815" s="1" t="str">
        <f t="shared" si="60"/>
        <v>20-30</v>
      </c>
      <c r="I815" s="1" t="str">
        <f t="shared" si="61"/>
        <v>Pre-High</v>
      </c>
      <c r="J815" s="1" t="str">
        <f t="shared" si="62"/>
        <v>Normal</v>
      </c>
      <c r="K815" s="1" t="str">
        <f t="shared" si="63"/>
        <v>Normal</v>
      </c>
      <c r="L815" s="1" t="str">
        <f t="shared" si="64"/>
        <v>Normal</v>
      </c>
    </row>
    <row r="816" spans="1:12" x14ac:dyDescent="0.25">
      <c r="A816">
        <v>23</v>
      </c>
      <c r="B816">
        <v>120</v>
      </c>
      <c r="C816">
        <v>75</v>
      </c>
      <c r="D816">
        <v>8</v>
      </c>
      <c r="E816">
        <v>98</v>
      </c>
      <c r="F816">
        <v>70</v>
      </c>
      <c r="G816" t="s">
        <v>9</v>
      </c>
      <c r="H816" s="1" t="str">
        <f t="shared" si="60"/>
        <v>20-30</v>
      </c>
      <c r="I816" s="1" t="str">
        <f t="shared" si="61"/>
        <v>Pre-High</v>
      </c>
      <c r="J816" s="1" t="str">
        <f t="shared" si="62"/>
        <v>Slightly High</v>
      </c>
      <c r="K816" s="1" t="str">
        <f t="shared" si="63"/>
        <v>Normal</v>
      </c>
      <c r="L816" s="1" t="str">
        <f t="shared" si="64"/>
        <v>Normal</v>
      </c>
    </row>
    <row r="817" spans="1:12" x14ac:dyDescent="0.25">
      <c r="A817">
        <v>15</v>
      </c>
      <c r="B817">
        <v>120</v>
      </c>
      <c r="C817">
        <v>80</v>
      </c>
      <c r="D817">
        <v>7.5</v>
      </c>
      <c r="E817">
        <v>98</v>
      </c>
      <c r="F817">
        <v>70</v>
      </c>
      <c r="G817" t="s">
        <v>9</v>
      </c>
      <c r="H817" s="1" t="str">
        <f t="shared" si="60"/>
        <v>10-20</v>
      </c>
      <c r="I817" s="1" t="str">
        <f t="shared" si="61"/>
        <v>Pre-High</v>
      </c>
      <c r="J817" s="1" t="str">
        <f t="shared" si="62"/>
        <v>Normal</v>
      </c>
      <c r="K817" s="1" t="str">
        <f t="shared" si="63"/>
        <v>Normal</v>
      </c>
      <c r="L817" s="1" t="str">
        <f t="shared" si="64"/>
        <v>Normal</v>
      </c>
    </row>
    <row r="818" spans="1:12" x14ac:dyDescent="0.25">
      <c r="A818">
        <v>30</v>
      </c>
      <c r="B818">
        <v>120</v>
      </c>
      <c r="C818">
        <v>80</v>
      </c>
      <c r="D818">
        <v>7.5</v>
      </c>
      <c r="E818">
        <v>101</v>
      </c>
      <c r="F818">
        <v>76</v>
      </c>
      <c r="G818" t="s">
        <v>9</v>
      </c>
      <c r="H818" s="1" t="str">
        <f t="shared" si="60"/>
        <v>20-30</v>
      </c>
      <c r="I818" s="1" t="str">
        <f t="shared" si="61"/>
        <v>Pre-High</v>
      </c>
      <c r="J818" s="1" t="str">
        <f t="shared" si="62"/>
        <v>Normal</v>
      </c>
      <c r="K818" s="1" t="str">
        <f t="shared" si="63"/>
        <v>Normal</v>
      </c>
      <c r="L818" s="1" t="str">
        <f t="shared" si="64"/>
        <v>High</v>
      </c>
    </row>
    <row r="819" spans="1:12" x14ac:dyDescent="0.25">
      <c r="A819">
        <v>40</v>
      </c>
      <c r="B819">
        <v>120</v>
      </c>
      <c r="C819">
        <v>95</v>
      </c>
      <c r="D819">
        <v>11</v>
      </c>
      <c r="E819">
        <v>98</v>
      </c>
      <c r="F819">
        <v>80</v>
      </c>
      <c r="G819" t="s">
        <v>9</v>
      </c>
      <c r="H819" s="1" t="str">
        <f t="shared" si="60"/>
        <v>30-40</v>
      </c>
      <c r="I819" s="1" t="str">
        <f t="shared" si="61"/>
        <v>High</v>
      </c>
      <c r="J819" s="1" t="str">
        <f t="shared" si="62"/>
        <v>Slightly High</v>
      </c>
      <c r="K819" s="1" t="str">
        <f t="shared" si="63"/>
        <v>Normal</v>
      </c>
      <c r="L819" s="1" t="str">
        <f t="shared" si="64"/>
        <v>Normal</v>
      </c>
    </row>
    <row r="820" spans="1:12" x14ac:dyDescent="0.25">
      <c r="A820">
        <v>60</v>
      </c>
      <c r="B820">
        <v>120</v>
      </c>
      <c r="C820">
        <v>85</v>
      </c>
      <c r="D820">
        <v>15</v>
      </c>
      <c r="E820">
        <v>98</v>
      </c>
      <c r="F820">
        <v>60</v>
      </c>
      <c r="G820" t="s">
        <v>9</v>
      </c>
      <c r="H820" s="1" t="str">
        <f t="shared" si="60"/>
        <v>50+</v>
      </c>
      <c r="I820" s="1" t="str">
        <f t="shared" si="61"/>
        <v>Pre-High</v>
      </c>
      <c r="J820" s="1" t="str">
        <f t="shared" si="62"/>
        <v>High</v>
      </c>
      <c r="K820" s="1" t="str">
        <f t="shared" si="63"/>
        <v>Low</v>
      </c>
      <c r="L820" s="1" t="str">
        <f t="shared" si="64"/>
        <v>Normal</v>
      </c>
    </row>
    <row r="821" spans="1:12" x14ac:dyDescent="0.25">
      <c r="A821">
        <v>50</v>
      </c>
      <c r="B821">
        <v>130</v>
      </c>
      <c r="C821">
        <v>100</v>
      </c>
      <c r="D821">
        <v>16</v>
      </c>
      <c r="E821">
        <v>98</v>
      </c>
      <c r="F821">
        <v>75</v>
      </c>
      <c r="G821" t="s">
        <v>9</v>
      </c>
      <c r="H821" s="1" t="str">
        <f t="shared" si="60"/>
        <v>40-50</v>
      </c>
      <c r="I821" s="1" t="str">
        <f t="shared" si="61"/>
        <v>Critical</v>
      </c>
      <c r="J821" s="1" t="str">
        <f t="shared" si="62"/>
        <v>High</v>
      </c>
      <c r="K821" s="1" t="str">
        <f t="shared" si="63"/>
        <v>Normal</v>
      </c>
      <c r="L821" s="1" t="str">
        <f t="shared" si="64"/>
        <v>Normal</v>
      </c>
    </row>
    <row r="822" spans="1:12" x14ac:dyDescent="0.25">
      <c r="A822">
        <v>28</v>
      </c>
      <c r="B822">
        <v>115</v>
      </c>
      <c r="C822">
        <v>60</v>
      </c>
      <c r="D822">
        <v>7.5</v>
      </c>
      <c r="E822">
        <v>101</v>
      </c>
      <c r="F822">
        <v>86</v>
      </c>
      <c r="G822" t="s">
        <v>9</v>
      </c>
      <c r="H822" s="1" t="str">
        <f t="shared" si="60"/>
        <v>20-30</v>
      </c>
      <c r="I822" s="1" t="str">
        <f t="shared" si="61"/>
        <v>Normal</v>
      </c>
      <c r="J822" s="1" t="str">
        <f t="shared" si="62"/>
        <v>Normal</v>
      </c>
      <c r="K822" s="1" t="str">
        <f t="shared" si="63"/>
        <v>High</v>
      </c>
      <c r="L822" s="1" t="str">
        <f t="shared" si="64"/>
        <v>High</v>
      </c>
    </row>
    <row r="823" spans="1:12" x14ac:dyDescent="0.25">
      <c r="A823">
        <v>31</v>
      </c>
      <c r="B823">
        <v>120</v>
      </c>
      <c r="C823">
        <v>60</v>
      </c>
      <c r="D823">
        <v>6.1</v>
      </c>
      <c r="E823">
        <v>98</v>
      </c>
      <c r="F823">
        <v>76</v>
      </c>
      <c r="G823" t="s">
        <v>9</v>
      </c>
      <c r="H823" s="1" t="str">
        <f t="shared" si="60"/>
        <v>30-40</v>
      </c>
      <c r="I823" s="1" t="str">
        <f t="shared" si="61"/>
        <v>Pre-High</v>
      </c>
      <c r="J823" s="1" t="str">
        <f t="shared" si="62"/>
        <v>Normal</v>
      </c>
      <c r="K823" s="1" t="str">
        <f t="shared" si="63"/>
        <v>Normal</v>
      </c>
      <c r="L823" s="1" t="str">
        <f t="shared" si="64"/>
        <v>Normal</v>
      </c>
    </row>
    <row r="824" spans="1:12" x14ac:dyDescent="0.25">
      <c r="A824">
        <v>23</v>
      </c>
      <c r="B824">
        <v>120</v>
      </c>
      <c r="C824">
        <v>80</v>
      </c>
      <c r="D824">
        <v>7.5</v>
      </c>
      <c r="E824">
        <v>98</v>
      </c>
      <c r="F824">
        <v>70</v>
      </c>
      <c r="G824" t="s">
        <v>9</v>
      </c>
      <c r="H824" s="1" t="str">
        <f t="shared" si="60"/>
        <v>20-30</v>
      </c>
      <c r="I824" s="1" t="str">
        <f t="shared" si="61"/>
        <v>Pre-High</v>
      </c>
      <c r="J824" s="1" t="str">
        <f t="shared" si="62"/>
        <v>Normal</v>
      </c>
      <c r="K824" s="1" t="str">
        <f t="shared" si="63"/>
        <v>Normal</v>
      </c>
      <c r="L824" s="1" t="str">
        <f t="shared" si="64"/>
        <v>Normal</v>
      </c>
    </row>
    <row r="825" spans="1:12" x14ac:dyDescent="0.25">
      <c r="A825">
        <v>29</v>
      </c>
      <c r="B825">
        <v>130</v>
      </c>
      <c r="C825">
        <v>70</v>
      </c>
      <c r="D825">
        <v>7.5</v>
      </c>
      <c r="E825">
        <v>98</v>
      </c>
      <c r="F825">
        <v>78</v>
      </c>
      <c r="G825" t="s">
        <v>9</v>
      </c>
      <c r="H825" s="1" t="str">
        <f t="shared" si="60"/>
        <v>20-30</v>
      </c>
      <c r="I825" s="1" t="str">
        <f t="shared" si="61"/>
        <v>Pre-High</v>
      </c>
      <c r="J825" s="1" t="str">
        <f t="shared" si="62"/>
        <v>Normal</v>
      </c>
      <c r="K825" s="1" t="str">
        <f t="shared" si="63"/>
        <v>Normal</v>
      </c>
      <c r="L825" s="1" t="str">
        <f t="shared" si="64"/>
        <v>Normal</v>
      </c>
    </row>
    <row r="826" spans="1:12" x14ac:dyDescent="0.25">
      <c r="A826">
        <v>22</v>
      </c>
      <c r="B826">
        <v>100</v>
      </c>
      <c r="C826">
        <v>65</v>
      </c>
      <c r="D826">
        <v>7.5</v>
      </c>
      <c r="E826">
        <v>98</v>
      </c>
      <c r="F826">
        <v>70</v>
      </c>
      <c r="G826" t="s">
        <v>9</v>
      </c>
      <c r="H826" s="1" t="str">
        <f t="shared" si="60"/>
        <v>20-30</v>
      </c>
      <c r="I826" s="1" t="str">
        <f t="shared" si="61"/>
        <v>Normal</v>
      </c>
      <c r="J826" s="1" t="str">
        <f t="shared" si="62"/>
        <v>Normal</v>
      </c>
      <c r="K826" s="1" t="str">
        <f t="shared" si="63"/>
        <v>Normal</v>
      </c>
      <c r="L826" s="1" t="str">
        <f t="shared" si="64"/>
        <v>Normal</v>
      </c>
    </row>
    <row r="827" spans="1:12" x14ac:dyDescent="0.25">
      <c r="A827">
        <v>49</v>
      </c>
      <c r="B827">
        <v>120</v>
      </c>
      <c r="C827">
        <v>90</v>
      </c>
      <c r="D827">
        <v>7.5</v>
      </c>
      <c r="E827">
        <v>98</v>
      </c>
      <c r="F827">
        <v>77</v>
      </c>
      <c r="G827" t="s">
        <v>9</v>
      </c>
      <c r="H827" s="1" t="str">
        <f t="shared" si="60"/>
        <v>40-50</v>
      </c>
      <c r="I827" s="1" t="str">
        <f t="shared" si="61"/>
        <v>High</v>
      </c>
      <c r="J827" s="1" t="str">
        <f t="shared" si="62"/>
        <v>Normal</v>
      </c>
      <c r="K827" s="1" t="str">
        <f t="shared" si="63"/>
        <v>Normal</v>
      </c>
      <c r="L827" s="1" t="str">
        <f t="shared" si="64"/>
        <v>Normal</v>
      </c>
    </row>
    <row r="828" spans="1:12" x14ac:dyDescent="0.25">
      <c r="A828">
        <v>28</v>
      </c>
      <c r="B828">
        <v>90</v>
      </c>
      <c r="C828">
        <v>60</v>
      </c>
      <c r="D828">
        <v>7.5</v>
      </c>
      <c r="E828">
        <v>98</v>
      </c>
      <c r="F828">
        <v>82</v>
      </c>
      <c r="G828" t="s">
        <v>9</v>
      </c>
      <c r="H828" s="1" t="str">
        <f t="shared" si="60"/>
        <v>20-30</v>
      </c>
      <c r="I828" s="1" t="str">
        <f t="shared" si="61"/>
        <v>Normal</v>
      </c>
      <c r="J828" s="1" t="str">
        <f t="shared" si="62"/>
        <v>Normal</v>
      </c>
      <c r="K828" s="1" t="str">
        <f t="shared" si="63"/>
        <v>Normal</v>
      </c>
      <c r="L828" s="1" t="str">
        <f t="shared" si="64"/>
        <v>Normal</v>
      </c>
    </row>
    <row r="829" spans="1:12" x14ac:dyDescent="0.25">
      <c r="A829">
        <v>12</v>
      </c>
      <c r="B829">
        <v>90</v>
      </c>
      <c r="C829">
        <v>60</v>
      </c>
      <c r="D829">
        <v>7.5</v>
      </c>
      <c r="E829">
        <v>102</v>
      </c>
      <c r="F829">
        <v>66</v>
      </c>
      <c r="G829" t="s">
        <v>9</v>
      </c>
      <c r="H829" s="1" t="str">
        <f t="shared" si="60"/>
        <v>10-20</v>
      </c>
      <c r="I829" s="1" t="str">
        <f t="shared" si="61"/>
        <v>Normal</v>
      </c>
      <c r="J829" s="1" t="str">
        <f t="shared" si="62"/>
        <v>Normal</v>
      </c>
      <c r="K829" s="1" t="str">
        <f t="shared" si="63"/>
        <v>Low</v>
      </c>
      <c r="L829" s="1" t="str">
        <f t="shared" si="64"/>
        <v>High</v>
      </c>
    </row>
    <row r="830" spans="1:12" x14ac:dyDescent="0.25">
      <c r="A830">
        <v>20</v>
      </c>
      <c r="B830">
        <v>100</v>
      </c>
      <c r="C830">
        <v>90</v>
      </c>
      <c r="D830">
        <v>7.5</v>
      </c>
      <c r="E830">
        <v>98</v>
      </c>
      <c r="F830">
        <v>88</v>
      </c>
      <c r="G830" t="s">
        <v>9</v>
      </c>
      <c r="H830" s="1" t="str">
        <f t="shared" si="60"/>
        <v>10-20</v>
      </c>
      <c r="I830" s="1" t="str">
        <f t="shared" si="61"/>
        <v>High</v>
      </c>
      <c r="J830" s="1" t="str">
        <f t="shared" si="62"/>
        <v>Normal</v>
      </c>
      <c r="K830" s="1" t="str">
        <f t="shared" si="63"/>
        <v>High</v>
      </c>
      <c r="L830" s="1" t="str">
        <f t="shared" si="64"/>
        <v>Normal</v>
      </c>
    </row>
    <row r="831" spans="1:12" x14ac:dyDescent="0.25">
      <c r="A831">
        <v>23</v>
      </c>
      <c r="B831">
        <v>100</v>
      </c>
      <c r="C831">
        <v>85</v>
      </c>
      <c r="D831">
        <v>7.5</v>
      </c>
      <c r="E831">
        <v>98</v>
      </c>
      <c r="F831">
        <v>66</v>
      </c>
      <c r="G831" t="s">
        <v>9</v>
      </c>
      <c r="H831" s="1" t="str">
        <f t="shared" si="60"/>
        <v>20-30</v>
      </c>
      <c r="I831" s="1" t="str">
        <f t="shared" si="61"/>
        <v>Pre-High</v>
      </c>
      <c r="J831" s="1" t="str">
        <f t="shared" si="62"/>
        <v>Normal</v>
      </c>
      <c r="K831" s="1" t="str">
        <f t="shared" si="63"/>
        <v>Low</v>
      </c>
      <c r="L831" s="1" t="str">
        <f t="shared" si="64"/>
        <v>Normal</v>
      </c>
    </row>
    <row r="832" spans="1:12" x14ac:dyDescent="0.25">
      <c r="A832">
        <v>22</v>
      </c>
      <c r="B832">
        <v>120</v>
      </c>
      <c r="C832">
        <v>90</v>
      </c>
      <c r="D832">
        <v>7.5</v>
      </c>
      <c r="E832">
        <v>98</v>
      </c>
      <c r="F832">
        <v>82</v>
      </c>
      <c r="G832" t="s">
        <v>9</v>
      </c>
      <c r="H832" s="1" t="str">
        <f t="shared" si="60"/>
        <v>20-30</v>
      </c>
      <c r="I832" s="1" t="str">
        <f t="shared" si="61"/>
        <v>High</v>
      </c>
      <c r="J832" s="1" t="str">
        <f t="shared" si="62"/>
        <v>Normal</v>
      </c>
      <c r="K832" s="1" t="str">
        <f t="shared" si="63"/>
        <v>Normal</v>
      </c>
      <c r="L832" s="1" t="str">
        <f t="shared" si="64"/>
        <v>Normal</v>
      </c>
    </row>
    <row r="833" spans="1:12" x14ac:dyDescent="0.25">
      <c r="A833">
        <v>21</v>
      </c>
      <c r="B833">
        <v>120</v>
      </c>
      <c r="C833">
        <v>80</v>
      </c>
      <c r="D833">
        <v>7.5</v>
      </c>
      <c r="E833">
        <v>98</v>
      </c>
      <c r="F833">
        <v>77</v>
      </c>
      <c r="G833" t="s">
        <v>9</v>
      </c>
      <c r="H833" s="1" t="str">
        <f t="shared" si="60"/>
        <v>20-30</v>
      </c>
      <c r="I833" s="1" t="str">
        <f t="shared" si="61"/>
        <v>Pre-High</v>
      </c>
      <c r="J833" s="1" t="str">
        <f t="shared" si="62"/>
        <v>Normal</v>
      </c>
      <c r="K833" s="1" t="str">
        <f t="shared" si="63"/>
        <v>Normal</v>
      </c>
      <c r="L833" s="1" t="str">
        <f t="shared" si="64"/>
        <v>Normal</v>
      </c>
    </row>
    <row r="834" spans="1:12" x14ac:dyDescent="0.25">
      <c r="A834">
        <v>60</v>
      </c>
      <c r="B834">
        <v>120</v>
      </c>
      <c r="C834">
        <v>80</v>
      </c>
      <c r="D834">
        <v>7.5</v>
      </c>
      <c r="E834">
        <v>98</v>
      </c>
      <c r="F834">
        <v>75</v>
      </c>
      <c r="G834" t="s">
        <v>9</v>
      </c>
      <c r="H834" s="1" t="str">
        <f t="shared" si="60"/>
        <v>50+</v>
      </c>
      <c r="I834" s="1" t="str">
        <f t="shared" si="61"/>
        <v>Pre-High</v>
      </c>
      <c r="J834" s="1" t="str">
        <f t="shared" si="62"/>
        <v>Normal</v>
      </c>
      <c r="K834" s="1" t="str">
        <f t="shared" si="63"/>
        <v>Normal</v>
      </c>
      <c r="L834" s="1" t="str">
        <f t="shared" si="64"/>
        <v>Normal</v>
      </c>
    </row>
    <row r="835" spans="1:12" x14ac:dyDescent="0.25">
      <c r="A835">
        <v>50</v>
      </c>
      <c r="B835">
        <v>130</v>
      </c>
      <c r="C835">
        <v>100</v>
      </c>
      <c r="D835">
        <v>16</v>
      </c>
      <c r="E835">
        <v>98</v>
      </c>
      <c r="F835">
        <v>75</v>
      </c>
      <c r="G835" t="s">
        <v>9</v>
      </c>
      <c r="H835" s="1" t="str">
        <f t="shared" ref="H835:H898" si="65">IF(A835&lt;=20,"10-20",
 IF(A835&lt;=30,"20-30",
 IF(A835&lt;=40,"30-40",
 IF(A835&lt;=50,"40-50","50+"))))</f>
        <v>40-50</v>
      </c>
      <c r="I835" s="1" t="str">
        <f t="shared" ref="I835:I898" si="66">IF(AND(B835&lt;90,C835&lt;60),"Low BP",
 IF(AND(B835&lt;120,C835&lt;80),"Normal",
 IF(AND(B835&lt;140,C835&lt;90),"Pre-High",
 IF(AND(B835&lt;160,C835&lt;100),"High","Critical"))))</f>
        <v>Critical</v>
      </c>
      <c r="J835" s="1" t="str">
        <f t="shared" ref="J835:J898" si="67">IF(D835&lt;8,"Normal",
 IF(D835&lt;12,"Slightly High","High"))</f>
        <v>High</v>
      </c>
      <c r="K835" s="1" t="str">
        <f t="shared" ref="K835:K898" si="68">IF(F835&lt;70,"Low",
 IF(F835&lt;=85,"Normal","High"))</f>
        <v>Normal</v>
      </c>
      <c r="L835" s="1" t="str">
        <f t="shared" ref="L835:L898" si="69">IF(E835&lt;97.5,"Low",
 IF(E835&lt;=99,"Normal","High"))</f>
        <v>Normal</v>
      </c>
    </row>
    <row r="836" spans="1:12" x14ac:dyDescent="0.25">
      <c r="A836">
        <v>17</v>
      </c>
      <c r="B836">
        <v>90</v>
      </c>
      <c r="C836">
        <v>65</v>
      </c>
      <c r="D836">
        <v>7.5</v>
      </c>
      <c r="E836">
        <v>103</v>
      </c>
      <c r="F836">
        <v>67</v>
      </c>
      <c r="G836" t="s">
        <v>9</v>
      </c>
      <c r="H836" s="1" t="str">
        <f t="shared" si="65"/>
        <v>10-20</v>
      </c>
      <c r="I836" s="1" t="str">
        <f t="shared" si="66"/>
        <v>Normal</v>
      </c>
      <c r="J836" s="1" t="str">
        <f t="shared" si="67"/>
        <v>Normal</v>
      </c>
      <c r="K836" s="1" t="str">
        <f t="shared" si="68"/>
        <v>Low</v>
      </c>
      <c r="L836" s="1" t="str">
        <f t="shared" si="69"/>
        <v>High</v>
      </c>
    </row>
    <row r="837" spans="1:12" x14ac:dyDescent="0.25">
      <c r="A837">
        <v>29</v>
      </c>
      <c r="B837">
        <v>130</v>
      </c>
      <c r="C837">
        <v>70</v>
      </c>
      <c r="D837">
        <v>7.5</v>
      </c>
      <c r="E837">
        <v>98</v>
      </c>
      <c r="F837">
        <v>78</v>
      </c>
      <c r="G837" t="s">
        <v>9</v>
      </c>
      <c r="H837" s="1" t="str">
        <f t="shared" si="65"/>
        <v>20-30</v>
      </c>
      <c r="I837" s="1" t="str">
        <f t="shared" si="66"/>
        <v>Pre-High</v>
      </c>
      <c r="J837" s="1" t="str">
        <f t="shared" si="67"/>
        <v>Normal</v>
      </c>
      <c r="K837" s="1" t="str">
        <f t="shared" si="68"/>
        <v>Normal</v>
      </c>
      <c r="L837" s="1" t="str">
        <f t="shared" si="69"/>
        <v>Normal</v>
      </c>
    </row>
    <row r="838" spans="1:12" x14ac:dyDescent="0.25">
      <c r="A838">
        <v>19</v>
      </c>
      <c r="B838">
        <v>120</v>
      </c>
      <c r="C838">
        <v>80</v>
      </c>
      <c r="D838">
        <v>7</v>
      </c>
      <c r="E838">
        <v>98</v>
      </c>
      <c r="F838">
        <v>70</v>
      </c>
      <c r="G838" t="s">
        <v>9</v>
      </c>
      <c r="H838" s="1" t="str">
        <f t="shared" si="65"/>
        <v>10-20</v>
      </c>
      <c r="I838" s="1" t="str">
        <f t="shared" si="66"/>
        <v>Pre-High</v>
      </c>
      <c r="J838" s="1" t="str">
        <f t="shared" si="67"/>
        <v>Normal</v>
      </c>
      <c r="K838" s="1" t="str">
        <f t="shared" si="68"/>
        <v>Normal</v>
      </c>
      <c r="L838" s="1" t="str">
        <f t="shared" si="69"/>
        <v>Normal</v>
      </c>
    </row>
    <row r="839" spans="1:12" x14ac:dyDescent="0.25">
      <c r="A839">
        <v>19</v>
      </c>
      <c r="B839">
        <v>120</v>
      </c>
      <c r="C839">
        <v>85</v>
      </c>
      <c r="D839">
        <v>9</v>
      </c>
      <c r="E839">
        <v>98</v>
      </c>
      <c r="F839">
        <v>60</v>
      </c>
      <c r="G839" t="s">
        <v>9</v>
      </c>
      <c r="H839" s="1" t="str">
        <f t="shared" si="65"/>
        <v>10-20</v>
      </c>
      <c r="I839" s="1" t="str">
        <f t="shared" si="66"/>
        <v>Pre-High</v>
      </c>
      <c r="J839" s="1" t="str">
        <f t="shared" si="67"/>
        <v>Slightly High</v>
      </c>
      <c r="K839" s="1" t="str">
        <f t="shared" si="68"/>
        <v>Low</v>
      </c>
      <c r="L839" s="1" t="str">
        <f t="shared" si="69"/>
        <v>Normal</v>
      </c>
    </row>
    <row r="840" spans="1:12" x14ac:dyDescent="0.25">
      <c r="A840">
        <v>30</v>
      </c>
      <c r="B840">
        <v>90</v>
      </c>
      <c r="C840">
        <v>65</v>
      </c>
      <c r="D840">
        <v>8</v>
      </c>
      <c r="E840">
        <v>98</v>
      </c>
      <c r="F840">
        <v>77</v>
      </c>
      <c r="G840" t="s">
        <v>9</v>
      </c>
      <c r="H840" s="1" t="str">
        <f t="shared" si="65"/>
        <v>20-30</v>
      </c>
      <c r="I840" s="1" t="str">
        <f t="shared" si="66"/>
        <v>Normal</v>
      </c>
      <c r="J840" s="1" t="str">
        <f t="shared" si="67"/>
        <v>Slightly High</v>
      </c>
      <c r="K840" s="1" t="str">
        <f t="shared" si="68"/>
        <v>Normal</v>
      </c>
      <c r="L840" s="1" t="str">
        <f t="shared" si="69"/>
        <v>Normal</v>
      </c>
    </row>
    <row r="841" spans="1:12" x14ac:dyDescent="0.25">
      <c r="A841">
        <v>28</v>
      </c>
      <c r="B841">
        <v>85</v>
      </c>
      <c r="C841">
        <v>60</v>
      </c>
      <c r="D841">
        <v>9</v>
      </c>
      <c r="E841">
        <v>101</v>
      </c>
      <c r="F841">
        <v>86</v>
      </c>
      <c r="G841" t="s">
        <v>9</v>
      </c>
      <c r="H841" s="1" t="str">
        <f t="shared" si="65"/>
        <v>20-30</v>
      </c>
      <c r="I841" s="1" t="str">
        <f t="shared" si="66"/>
        <v>Normal</v>
      </c>
      <c r="J841" s="1" t="str">
        <f t="shared" si="67"/>
        <v>Slightly High</v>
      </c>
      <c r="K841" s="1" t="str">
        <f t="shared" si="68"/>
        <v>High</v>
      </c>
      <c r="L841" s="1" t="str">
        <f t="shared" si="69"/>
        <v>High</v>
      </c>
    </row>
    <row r="842" spans="1:12" x14ac:dyDescent="0.25">
      <c r="A842">
        <v>50</v>
      </c>
      <c r="B842">
        <v>120</v>
      </c>
      <c r="C842">
        <v>80</v>
      </c>
      <c r="D842">
        <v>7</v>
      </c>
      <c r="E842">
        <v>98</v>
      </c>
      <c r="F842">
        <v>70</v>
      </c>
      <c r="G842" t="s">
        <v>9</v>
      </c>
      <c r="H842" s="1" t="str">
        <f t="shared" si="65"/>
        <v>40-50</v>
      </c>
      <c r="I842" s="1" t="str">
        <f t="shared" si="66"/>
        <v>Pre-High</v>
      </c>
      <c r="J842" s="1" t="str">
        <f t="shared" si="67"/>
        <v>Normal</v>
      </c>
      <c r="K842" s="1" t="str">
        <f t="shared" si="68"/>
        <v>Normal</v>
      </c>
      <c r="L842" s="1" t="str">
        <f t="shared" si="69"/>
        <v>Normal</v>
      </c>
    </row>
    <row r="843" spans="1:12" x14ac:dyDescent="0.25">
      <c r="A843">
        <v>39</v>
      </c>
      <c r="B843">
        <v>110</v>
      </c>
      <c r="C843">
        <v>70</v>
      </c>
      <c r="D843">
        <v>7.9</v>
      </c>
      <c r="E843">
        <v>98</v>
      </c>
      <c r="F843">
        <v>80</v>
      </c>
      <c r="G843" t="s">
        <v>9</v>
      </c>
      <c r="H843" s="1" t="str">
        <f t="shared" si="65"/>
        <v>30-40</v>
      </c>
      <c r="I843" s="1" t="str">
        <f t="shared" si="66"/>
        <v>Normal</v>
      </c>
      <c r="J843" s="1" t="str">
        <f t="shared" si="67"/>
        <v>Normal</v>
      </c>
      <c r="K843" s="1" t="str">
        <f t="shared" si="68"/>
        <v>Normal</v>
      </c>
      <c r="L843" s="1" t="str">
        <f t="shared" si="69"/>
        <v>Normal</v>
      </c>
    </row>
    <row r="844" spans="1:12" x14ac:dyDescent="0.25">
      <c r="A844">
        <v>29</v>
      </c>
      <c r="B844">
        <v>130</v>
      </c>
      <c r="C844">
        <v>70</v>
      </c>
      <c r="D844">
        <v>8</v>
      </c>
      <c r="E844">
        <v>98</v>
      </c>
      <c r="F844">
        <v>78</v>
      </c>
      <c r="G844" t="s">
        <v>9</v>
      </c>
      <c r="H844" s="1" t="str">
        <f t="shared" si="65"/>
        <v>20-30</v>
      </c>
      <c r="I844" s="1" t="str">
        <f t="shared" si="66"/>
        <v>Pre-High</v>
      </c>
      <c r="J844" s="1" t="str">
        <f t="shared" si="67"/>
        <v>Slightly High</v>
      </c>
      <c r="K844" s="1" t="str">
        <f t="shared" si="68"/>
        <v>Normal</v>
      </c>
      <c r="L844" s="1" t="str">
        <f t="shared" si="69"/>
        <v>Normal</v>
      </c>
    </row>
    <row r="845" spans="1:12" x14ac:dyDescent="0.25">
      <c r="A845">
        <v>17</v>
      </c>
      <c r="B845">
        <v>90</v>
      </c>
      <c r="C845">
        <v>60</v>
      </c>
      <c r="D845">
        <v>9</v>
      </c>
      <c r="E845">
        <v>102</v>
      </c>
      <c r="F845">
        <v>86</v>
      </c>
      <c r="G845" t="s">
        <v>9</v>
      </c>
      <c r="H845" s="1" t="str">
        <f t="shared" si="65"/>
        <v>10-20</v>
      </c>
      <c r="I845" s="1" t="str">
        <f t="shared" si="66"/>
        <v>Normal</v>
      </c>
      <c r="J845" s="1" t="str">
        <f t="shared" si="67"/>
        <v>Slightly High</v>
      </c>
      <c r="K845" s="1" t="str">
        <f t="shared" si="68"/>
        <v>High</v>
      </c>
      <c r="L845" s="1" t="str">
        <f t="shared" si="69"/>
        <v>High</v>
      </c>
    </row>
    <row r="846" spans="1:12" x14ac:dyDescent="0.25">
      <c r="A846">
        <v>32</v>
      </c>
      <c r="B846">
        <v>120</v>
      </c>
      <c r="C846">
        <v>90</v>
      </c>
      <c r="D846">
        <v>7</v>
      </c>
      <c r="E846">
        <v>100</v>
      </c>
      <c r="F846">
        <v>70</v>
      </c>
      <c r="G846" t="s">
        <v>9</v>
      </c>
      <c r="H846" s="1" t="str">
        <f t="shared" si="65"/>
        <v>30-40</v>
      </c>
      <c r="I846" s="1" t="str">
        <f t="shared" si="66"/>
        <v>High</v>
      </c>
      <c r="J846" s="1" t="str">
        <f t="shared" si="67"/>
        <v>Normal</v>
      </c>
      <c r="K846" s="1" t="str">
        <f t="shared" si="68"/>
        <v>Normal</v>
      </c>
      <c r="L846" s="1" t="str">
        <f t="shared" si="69"/>
        <v>High</v>
      </c>
    </row>
    <row r="847" spans="1:12" x14ac:dyDescent="0.25">
      <c r="A847">
        <v>42</v>
      </c>
      <c r="B847">
        <v>120</v>
      </c>
      <c r="C847">
        <v>90</v>
      </c>
      <c r="D847">
        <v>9</v>
      </c>
      <c r="E847">
        <v>98</v>
      </c>
      <c r="F847">
        <v>70</v>
      </c>
      <c r="G847" t="s">
        <v>9</v>
      </c>
      <c r="H847" s="1" t="str">
        <f t="shared" si="65"/>
        <v>40-50</v>
      </c>
      <c r="I847" s="1" t="str">
        <f t="shared" si="66"/>
        <v>High</v>
      </c>
      <c r="J847" s="1" t="str">
        <f t="shared" si="67"/>
        <v>Slightly High</v>
      </c>
      <c r="K847" s="1" t="str">
        <f t="shared" si="68"/>
        <v>Normal</v>
      </c>
      <c r="L847" s="1" t="str">
        <f t="shared" si="69"/>
        <v>Normal</v>
      </c>
    </row>
    <row r="848" spans="1:12" x14ac:dyDescent="0.25">
      <c r="A848">
        <v>36</v>
      </c>
      <c r="B848">
        <v>120</v>
      </c>
      <c r="C848">
        <v>90</v>
      </c>
      <c r="D848">
        <v>7</v>
      </c>
      <c r="E848">
        <v>98</v>
      </c>
      <c r="F848">
        <v>82</v>
      </c>
      <c r="G848" t="s">
        <v>9</v>
      </c>
      <c r="H848" s="1" t="str">
        <f t="shared" si="65"/>
        <v>30-40</v>
      </c>
      <c r="I848" s="1" t="str">
        <f t="shared" si="66"/>
        <v>High</v>
      </c>
      <c r="J848" s="1" t="str">
        <f t="shared" si="67"/>
        <v>Normal</v>
      </c>
      <c r="K848" s="1" t="str">
        <f t="shared" si="68"/>
        <v>Normal</v>
      </c>
      <c r="L848" s="1" t="str">
        <f t="shared" si="69"/>
        <v>Normal</v>
      </c>
    </row>
    <row r="849" spans="1:12" x14ac:dyDescent="0.25">
      <c r="A849">
        <v>30</v>
      </c>
      <c r="B849">
        <v>120</v>
      </c>
      <c r="C849">
        <v>80</v>
      </c>
      <c r="D849">
        <v>9</v>
      </c>
      <c r="E849">
        <v>101</v>
      </c>
      <c r="F849">
        <v>76</v>
      </c>
      <c r="G849" t="s">
        <v>9</v>
      </c>
      <c r="H849" s="1" t="str">
        <f t="shared" si="65"/>
        <v>20-30</v>
      </c>
      <c r="I849" s="1" t="str">
        <f t="shared" si="66"/>
        <v>Pre-High</v>
      </c>
      <c r="J849" s="1" t="str">
        <f t="shared" si="67"/>
        <v>Slightly High</v>
      </c>
      <c r="K849" s="1" t="str">
        <f t="shared" si="68"/>
        <v>Normal</v>
      </c>
      <c r="L849" s="1" t="str">
        <f t="shared" si="69"/>
        <v>High</v>
      </c>
    </row>
    <row r="850" spans="1:12" x14ac:dyDescent="0.25">
      <c r="A850">
        <v>15</v>
      </c>
      <c r="B850">
        <v>70</v>
      </c>
      <c r="C850">
        <v>50</v>
      </c>
      <c r="D850">
        <v>6</v>
      </c>
      <c r="E850">
        <v>98</v>
      </c>
      <c r="F850">
        <v>70</v>
      </c>
      <c r="G850" t="s">
        <v>9</v>
      </c>
      <c r="H850" s="1" t="str">
        <f t="shared" si="65"/>
        <v>10-20</v>
      </c>
      <c r="I850" s="1" t="str">
        <f t="shared" si="66"/>
        <v>Low BP</v>
      </c>
      <c r="J850" s="1" t="str">
        <f t="shared" si="67"/>
        <v>Normal</v>
      </c>
      <c r="K850" s="1" t="str">
        <f t="shared" si="68"/>
        <v>Normal</v>
      </c>
      <c r="L850" s="1" t="str">
        <f t="shared" si="69"/>
        <v>Normal</v>
      </c>
    </row>
    <row r="851" spans="1:12" x14ac:dyDescent="0.25">
      <c r="A851">
        <v>10</v>
      </c>
      <c r="B851">
        <v>100</v>
      </c>
      <c r="C851">
        <v>50</v>
      </c>
      <c r="D851">
        <v>6</v>
      </c>
      <c r="E851">
        <v>99</v>
      </c>
      <c r="F851">
        <v>70</v>
      </c>
      <c r="G851" t="s">
        <v>9</v>
      </c>
      <c r="H851" s="1" t="str">
        <f t="shared" si="65"/>
        <v>10-20</v>
      </c>
      <c r="I851" s="1" t="str">
        <f t="shared" si="66"/>
        <v>Normal</v>
      </c>
      <c r="J851" s="1" t="str">
        <f t="shared" si="67"/>
        <v>Normal</v>
      </c>
      <c r="K851" s="1" t="str">
        <f t="shared" si="68"/>
        <v>Normal</v>
      </c>
      <c r="L851" s="1" t="str">
        <f t="shared" si="69"/>
        <v>Normal</v>
      </c>
    </row>
    <row r="852" spans="1:12" x14ac:dyDescent="0.25">
      <c r="A852">
        <v>12</v>
      </c>
      <c r="B852">
        <v>100</v>
      </c>
      <c r="C852">
        <v>50</v>
      </c>
      <c r="D852">
        <v>6.4</v>
      </c>
      <c r="E852">
        <v>98</v>
      </c>
      <c r="F852">
        <v>70</v>
      </c>
      <c r="G852" t="s">
        <v>9</v>
      </c>
      <c r="H852" s="1" t="str">
        <f t="shared" si="65"/>
        <v>10-20</v>
      </c>
      <c r="I852" s="1" t="str">
        <f t="shared" si="66"/>
        <v>Normal</v>
      </c>
      <c r="J852" s="1" t="str">
        <f t="shared" si="67"/>
        <v>Normal</v>
      </c>
      <c r="K852" s="1" t="str">
        <f t="shared" si="68"/>
        <v>Normal</v>
      </c>
      <c r="L852" s="1" t="str">
        <f t="shared" si="69"/>
        <v>Normal</v>
      </c>
    </row>
    <row r="853" spans="1:12" x14ac:dyDescent="0.25">
      <c r="A853">
        <v>12</v>
      </c>
      <c r="B853">
        <v>100</v>
      </c>
      <c r="C853">
        <v>50</v>
      </c>
      <c r="D853">
        <v>6</v>
      </c>
      <c r="E853">
        <v>98</v>
      </c>
      <c r="F853">
        <v>70</v>
      </c>
      <c r="G853" t="s">
        <v>9</v>
      </c>
      <c r="H853" s="1" t="str">
        <f t="shared" si="65"/>
        <v>10-20</v>
      </c>
      <c r="I853" s="1" t="str">
        <f t="shared" si="66"/>
        <v>Normal</v>
      </c>
      <c r="J853" s="1" t="str">
        <f t="shared" si="67"/>
        <v>Normal</v>
      </c>
      <c r="K853" s="1" t="str">
        <f t="shared" si="68"/>
        <v>Normal</v>
      </c>
      <c r="L853" s="1" t="str">
        <f t="shared" si="69"/>
        <v>Normal</v>
      </c>
    </row>
    <row r="854" spans="1:12" x14ac:dyDescent="0.25">
      <c r="A854">
        <v>23</v>
      </c>
      <c r="B854">
        <v>130</v>
      </c>
      <c r="C854">
        <v>70</v>
      </c>
      <c r="D854">
        <v>7.01</v>
      </c>
      <c r="E854">
        <v>98</v>
      </c>
      <c r="F854">
        <v>78</v>
      </c>
      <c r="G854" t="s">
        <v>9</v>
      </c>
      <c r="H854" s="1" t="str">
        <f t="shared" si="65"/>
        <v>20-30</v>
      </c>
      <c r="I854" s="1" t="str">
        <f t="shared" si="66"/>
        <v>Pre-High</v>
      </c>
      <c r="J854" s="1" t="str">
        <f t="shared" si="67"/>
        <v>Normal</v>
      </c>
      <c r="K854" s="1" t="str">
        <f t="shared" si="68"/>
        <v>Normal</v>
      </c>
      <c r="L854" s="1" t="str">
        <f t="shared" si="69"/>
        <v>Normal</v>
      </c>
    </row>
    <row r="855" spans="1:12" x14ac:dyDescent="0.25">
      <c r="A855">
        <v>32</v>
      </c>
      <c r="B855">
        <v>120</v>
      </c>
      <c r="C855">
        <v>90</v>
      </c>
      <c r="D855">
        <v>6.9</v>
      </c>
      <c r="E855">
        <v>98</v>
      </c>
      <c r="F855">
        <v>70</v>
      </c>
      <c r="G855" t="s">
        <v>9</v>
      </c>
      <c r="H855" s="1" t="str">
        <f t="shared" si="65"/>
        <v>30-40</v>
      </c>
      <c r="I855" s="1" t="str">
        <f t="shared" si="66"/>
        <v>High</v>
      </c>
      <c r="J855" s="1" t="str">
        <f t="shared" si="67"/>
        <v>Normal</v>
      </c>
      <c r="K855" s="1" t="str">
        <f t="shared" si="68"/>
        <v>Normal</v>
      </c>
      <c r="L855" s="1" t="str">
        <f t="shared" si="69"/>
        <v>Normal</v>
      </c>
    </row>
    <row r="856" spans="1:12" x14ac:dyDescent="0.25">
      <c r="A856">
        <v>19</v>
      </c>
      <c r="B856">
        <v>120</v>
      </c>
      <c r="C856">
        <v>80</v>
      </c>
      <c r="D856">
        <v>7</v>
      </c>
      <c r="E856">
        <v>98</v>
      </c>
      <c r="F856">
        <v>70</v>
      </c>
      <c r="G856" t="s">
        <v>9</v>
      </c>
      <c r="H856" s="1" t="str">
        <f t="shared" si="65"/>
        <v>10-20</v>
      </c>
      <c r="I856" s="1" t="str">
        <f t="shared" si="66"/>
        <v>Pre-High</v>
      </c>
      <c r="J856" s="1" t="str">
        <f t="shared" si="67"/>
        <v>Normal</v>
      </c>
      <c r="K856" s="1" t="str">
        <f t="shared" si="68"/>
        <v>Normal</v>
      </c>
      <c r="L856" s="1" t="str">
        <f t="shared" si="69"/>
        <v>Normal</v>
      </c>
    </row>
    <row r="857" spans="1:12" x14ac:dyDescent="0.25">
      <c r="A857">
        <v>20</v>
      </c>
      <c r="B857">
        <v>120</v>
      </c>
      <c r="C857">
        <v>75</v>
      </c>
      <c r="D857">
        <v>7.01</v>
      </c>
      <c r="E857">
        <v>100</v>
      </c>
      <c r="F857">
        <v>70</v>
      </c>
      <c r="G857" t="s">
        <v>9</v>
      </c>
      <c r="H857" s="1" t="str">
        <f t="shared" si="65"/>
        <v>10-20</v>
      </c>
      <c r="I857" s="1" t="str">
        <f t="shared" si="66"/>
        <v>Pre-High</v>
      </c>
      <c r="J857" s="1" t="str">
        <f t="shared" si="67"/>
        <v>Normal</v>
      </c>
      <c r="K857" s="1" t="str">
        <f t="shared" si="68"/>
        <v>Normal</v>
      </c>
      <c r="L857" s="1" t="str">
        <f t="shared" si="69"/>
        <v>High</v>
      </c>
    </row>
    <row r="858" spans="1:12" x14ac:dyDescent="0.25">
      <c r="A858">
        <v>48</v>
      </c>
      <c r="B858">
        <v>120</v>
      </c>
      <c r="C858">
        <v>80</v>
      </c>
      <c r="D858">
        <v>11</v>
      </c>
      <c r="E858">
        <v>98</v>
      </c>
      <c r="F858">
        <v>88</v>
      </c>
      <c r="G858" t="s">
        <v>9</v>
      </c>
      <c r="H858" s="1" t="str">
        <f t="shared" si="65"/>
        <v>40-50</v>
      </c>
      <c r="I858" s="1" t="str">
        <f t="shared" si="66"/>
        <v>Pre-High</v>
      </c>
      <c r="J858" s="1" t="str">
        <f t="shared" si="67"/>
        <v>Slightly High</v>
      </c>
      <c r="K858" s="1" t="str">
        <f t="shared" si="68"/>
        <v>High</v>
      </c>
      <c r="L858" s="1" t="str">
        <f t="shared" si="69"/>
        <v>Normal</v>
      </c>
    </row>
    <row r="859" spans="1:12" x14ac:dyDescent="0.25">
      <c r="A859">
        <v>30</v>
      </c>
      <c r="B859">
        <v>120</v>
      </c>
      <c r="C859">
        <v>80</v>
      </c>
      <c r="D859">
        <v>6.9</v>
      </c>
      <c r="E859">
        <v>101</v>
      </c>
      <c r="F859">
        <v>76</v>
      </c>
      <c r="G859" t="s">
        <v>9</v>
      </c>
      <c r="H859" s="1" t="str">
        <f t="shared" si="65"/>
        <v>20-30</v>
      </c>
      <c r="I859" s="1" t="str">
        <f t="shared" si="66"/>
        <v>Pre-High</v>
      </c>
      <c r="J859" s="1" t="str">
        <f t="shared" si="67"/>
        <v>Normal</v>
      </c>
      <c r="K859" s="1" t="str">
        <f t="shared" si="68"/>
        <v>Normal</v>
      </c>
      <c r="L859" s="1" t="str">
        <f t="shared" si="69"/>
        <v>High</v>
      </c>
    </row>
    <row r="860" spans="1:12" x14ac:dyDescent="0.25">
      <c r="A860">
        <v>18</v>
      </c>
      <c r="B860">
        <v>120</v>
      </c>
      <c r="C860">
        <v>80</v>
      </c>
      <c r="D860">
        <v>6.9</v>
      </c>
      <c r="E860">
        <v>102</v>
      </c>
      <c r="F860">
        <v>76</v>
      </c>
      <c r="G860" t="s">
        <v>9</v>
      </c>
      <c r="H860" s="1" t="str">
        <f t="shared" si="65"/>
        <v>10-20</v>
      </c>
      <c r="I860" s="1" t="str">
        <f t="shared" si="66"/>
        <v>Pre-High</v>
      </c>
      <c r="J860" s="1" t="str">
        <f t="shared" si="67"/>
        <v>Normal</v>
      </c>
      <c r="K860" s="1" t="str">
        <f t="shared" si="68"/>
        <v>Normal</v>
      </c>
      <c r="L860" s="1" t="str">
        <f t="shared" si="69"/>
        <v>High</v>
      </c>
    </row>
    <row r="861" spans="1:12" x14ac:dyDescent="0.25">
      <c r="A861">
        <v>17</v>
      </c>
      <c r="B861">
        <v>90</v>
      </c>
      <c r="C861">
        <v>60</v>
      </c>
      <c r="D861">
        <v>6.9</v>
      </c>
      <c r="E861">
        <v>101</v>
      </c>
      <c r="F861">
        <v>76</v>
      </c>
      <c r="G861" t="s">
        <v>9</v>
      </c>
      <c r="H861" s="1" t="str">
        <f t="shared" si="65"/>
        <v>10-20</v>
      </c>
      <c r="I861" s="1" t="str">
        <f t="shared" si="66"/>
        <v>Normal</v>
      </c>
      <c r="J861" s="1" t="str">
        <f t="shared" si="67"/>
        <v>Normal</v>
      </c>
      <c r="K861" s="1" t="str">
        <f t="shared" si="68"/>
        <v>Normal</v>
      </c>
      <c r="L861" s="1" t="str">
        <f t="shared" si="69"/>
        <v>High</v>
      </c>
    </row>
    <row r="862" spans="1:12" x14ac:dyDescent="0.25">
      <c r="A862">
        <v>17</v>
      </c>
      <c r="B862">
        <v>90</v>
      </c>
      <c r="C862">
        <v>63</v>
      </c>
      <c r="D862">
        <v>6.9</v>
      </c>
      <c r="E862">
        <v>101</v>
      </c>
      <c r="F862">
        <v>70</v>
      </c>
      <c r="G862" t="s">
        <v>9</v>
      </c>
      <c r="H862" s="1" t="str">
        <f t="shared" si="65"/>
        <v>10-20</v>
      </c>
      <c r="I862" s="1" t="str">
        <f t="shared" si="66"/>
        <v>Normal</v>
      </c>
      <c r="J862" s="1" t="str">
        <f t="shared" si="67"/>
        <v>Normal</v>
      </c>
      <c r="K862" s="1" t="str">
        <f t="shared" si="68"/>
        <v>Normal</v>
      </c>
      <c r="L862" s="1" t="str">
        <f t="shared" si="69"/>
        <v>High</v>
      </c>
    </row>
    <row r="863" spans="1:12" x14ac:dyDescent="0.25">
      <c r="A863">
        <v>25</v>
      </c>
      <c r="B863">
        <v>120</v>
      </c>
      <c r="C863">
        <v>90</v>
      </c>
      <c r="D863">
        <v>6.7</v>
      </c>
      <c r="E863">
        <v>101</v>
      </c>
      <c r="F863">
        <v>80</v>
      </c>
      <c r="G863" t="s">
        <v>9</v>
      </c>
      <c r="H863" s="1" t="str">
        <f t="shared" si="65"/>
        <v>20-30</v>
      </c>
      <c r="I863" s="1" t="str">
        <f t="shared" si="66"/>
        <v>High</v>
      </c>
      <c r="J863" s="1" t="str">
        <f t="shared" si="67"/>
        <v>Normal</v>
      </c>
      <c r="K863" s="1" t="str">
        <f t="shared" si="68"/>
        <v>Normal</v>
      </c>
      <c r="L863" s="1" t="str">
        <f t="shared" si="69"/>
        <v>High</v>
      </c>
    </row>
    <row r="864" spans="1:12" x14ac:dyDescent="0.25">
      <c r="A864">
        <v>17</v>
      </c>
      <c r="B864">
        <v>120</v>
      </c>
      <c r="C864">
        <v>80</v>
      </c>
      <c r="D864">
        <v>6.7</v>
      </c>
      <c r="E864">
        <v>102</v>
      </c>
      <c r="F864">
        <v>76</v>
      </c>
      <c r="G864" t="s">
        <v>9</v>
      </c>
      <c r="H864" s="1" t="str">
        <f t="shared" si="65"/>
        <v>10-20</v>
      </c>
      <c r="I864" s="1" t="str">
        <f t="shared" si="66"/>
        <v>Pre-High</v>
      </c>
      <c r="J864" s="1" t="str">
        <f t="shared" si="67"/>
        <v>Normal</v>
      </c>
      <c r="K864" s="1" t="str">
        <f t="shared" si="68"/>
        <v>Normal</v>
      </c>
      <c r="L864" s="1" t="str">
        <f t="shared" si="69"/>
        <v>High</v>
      </c>
    </row>
    <row r="865" spans="1:12" x14ac:dyDescent="0.25">
      <c r="A865">
        <v>13</v>
      </c>
      <c r="B865">
        <v>90</v>
      </c>
      <c r="C865">
        <v>65</v>
      </c>
      <c r="D865">
        <v>7.9</v>
      </c>
      <c r="E865">
        <v>101</v>
      </c>
      <c r="F865">
        <v>80</v>
      </c>
      <c r="G865" t="s">
        <v>9</v>
      </c>
      <c r="H865" s="1" t="str">
        <f t="shared" si="65"/>
        <v>10-20</v>
      </c>
      <c r="I865" s="1" t="str">
        <f t="shared" si="66"/>
        <v>Normal</v>
      </c>
      <c r="J865" s="1" t="str">
        <f t="shared" si="67"/>
        <v>Normal</v>
      </c>
      <c r="K865" s="1" t="str">
        <f t="shared" si="68"/>
        <v>Normal</v>
      </c>
      <c r="L865" s="1" t="str">
        <f t="shared" si="69"/>
        <v>High</v>
      </c>
    </row>
    <row r="866" spans="1:12" x14ac:dyDescent="0.25">
      <c r="A866">
        <v>31</v>
      </c>
      <c r="B866">
        <v>120</v>
      </c>
      <c r="C866">
        <v>60</v>
      </c>
      <c r="D866">
        <v>6.1</v>
      </c>
      <c r="E866">
        <v>98</v>
      </c>
      <c r="F866">
        <v>76</v>
      </c>
      <c r="G866" t="s">
        <v>9</v>
      </c>
      <c r="H866" s="1" t="str">
        <f t="shared" si="65"/>
        <v>30-40</v>
      </c>
      <c r="I866" s="1" t="str">
        <f t="shared" si="66"/>
        <v>Pre-High</v>
      </c>
      <c r="J866" s="1" t="str">
        <f t="shared" si="67"/>
        <v>Normal</v>
      </c>
      <c r="K866" s="1" t="str">
        <f t="shared" si="68"/>
        <v>Normal</v>
      </c>
      <c r="L866" s="1" t="str">
        <f t="shared" si="69"/>
        <v>Normal</v>
      </c>
    </row>
    <row r="867" spans="1:12" x14ac:dyDescent="0.25">
      <c r="A867">
        <v>29</v>
      </c>
      <c r="B867">
        <v>130</v>
      </c>
      <c r="C867">
        <v>70</v>
      </c>
      <c r="D867">
        <v>6.1</v>
      </c>
      <c r="E867">
        <v>98</v>
      </c>
      <c r="F867">
        <v>78</v>
      </c>
      <c r="G867" t="s">
        <v>9</v>
      </c>
      <c r="H867" s="1" t="str">
        <f t="shared" si="65"/>
        <v>20-30</v>
      </c>
      <c r="I867" s="1" t="str">
        <f t="shared" si="66"/>
        <v>Pre-High</v>
      </c>
      <c r="J867" s="1" t="str">
        <f t="shared" si="67"/>
        <v>Normal</v>
      </c>
      <c r="K867" s="1" t="str">
        <f t="shared" si="68"/>
        <v>Normal</v>
      </c>
      <c r="L867" s="1" t="str">
        <f t="shared" si="69"/>
        <v>Normal</v>
      </c>
    </row>
    <row r="868" spans="1:12" x14ac:dyDescent="0.25">
      <c r="A868">
        <v>19</v>
      </c>
      <c r="B868">
        <v>120</v>
      </c>
      <c r="C868">
        <v>80</v>
      </c>
      <c r="D868">
        <v>7</v>
      </c>
      <c r="E868">
        <v>98</v>
      </c>
      <c r="F868">
        <v>70</v>
      </c>
      <c r="G868" t="s">
        <v>9</v>
      </c>
      <c r="H868" s="1" t="str">
        <f t="shared" si="65"/>
        <v>10-20</v>
      </c>
      <c r="I868" s="1" t="str">
        <f t="shared" si="66"/>
        <v>Pre-High</v>
      </c>
      <c r="J868" s="1" t="str">
        <f t="shared" si="67"/>
        <v>Normal</v>
      </c>
      <c r="K868" s="1" t="str">
        <f t="shared" si="68"/>
        <v>Normal</v>
      </c>
      <c r="L868" s="1" t="str">
        <f t="shared" si="69"/>
        <v>Normal</v>
      </c>
    </row>
    <row r="869" spans="1:12" x14ac:dyDescent="0.25">
      <c r="A869">
        <v>28</v>
      </c>
      <c r="B869">
        <v>85</v>
      </c>
      <c r="C869">
        <v>60</v>
      </c>
      <c r="D869">
        <v>9</v>
      </c>
      <c r="E869">
        <v>101</v>
      </c>
      <c r="F869">
        <v>86</v>
      </c>
      <c r="G869" t="s">
        <v>9</v>
      </c>
      <c r="H869" s="1" t="str">
        <f t="shared" si="65"/>
        <v>20-30</v>
      </c>
      <c r="I869" s="1" t="str">
        <f t="shared" si="66"/>
        <v>Normal</v>
      </c>
      <c r="J869" s="1" t="str">
        <f t="shared" si="67"/>
        <v>Slightly High</v>
      </c>
      <c r="K869" s="1" t="str">
        <f t="shared" si="68"/>
        <v>High</v>
      </c>
      <c r="L869" s="1" t="str">
        <f t="shared" si="69"/>
        <v>High</v>
      </c>
    </row>
    <row r="870" spans="1:12" x14ac:dyDescent="0.25">
      <c r="A870">
        <v>50</v>
      </c>
      <c r="B870">
        <v>140</v>
      </c>
      <c r="C870">
        <v>80</v>
      </c>
      <c r="D870">
        <v>6.7</v>
      </c>
      <c r="E870">
        <v>98</v>
      </c>
      <c r="F870">
        <v>70</v>
      </c>
      <c r="G870" t="s">
        <v>9</v>
      </c>
      <c r="H870" s="1" t="str">
        <f t="shared" si="65"/>
        <v>40-50</v>
      </c>
      <c r="I870" s="1" t="str">
        <f t="shared" si="66"/>
        <v>High</v>
      </c>
      <c r="J870" s="1" t="str">
        <f t="shared" si="67"/>
        <v>Normal</v>
      </c>
      <c r="K870" s="1" t="str">
        <f t="shared" si="68"/>
        <v>Normal</v>
      </c>
      <c r="L870" s="1" t="str">
        <f t="shared" si="69"/>
        <v>Normal</v>
      </c>
    </row>
    <row r="871" spans="1:12" x14ac:dyDescent="0.25">
      <c r="A871">
        <v>29</v>
      </c>
      <c r="B871">
        <v>90</v>
      </c>
      <c r="C871">
        <v>70</v>
      </c>
      <c r="D871">
        <v>6.7</v>
      </c>
      <c r="E871">
        <v>98</v>
      </c>
      <c r="F871">
        <v>80</v>
      </c>
      <c r="G871" t="s">
        <v>9</v>
      </c>
      <c r="H871" s="1" t="str">
        <f t="shared" si="65"/>
        <v>20-30</v>
      </c>
      <c r="I871" s="1" t="str">
        <f t="shared" si="66"/>
        <v>Normal</v>
      </c>
      <c r="J871" s="1" t="str">
        <f t="shared" si="67"/>
        <v>Normal</v>
      </c>
      <c r="K871" s="1" t="str">
        <f t="shared" si="68"/>
        <v>Normal</v>
      </c>
      <c r="L871" s="1" t="str">
        <f t="shared" si="69"/>
        <v>Normal</v>
      </c>
    </row>
    <row r="872" spans="1:12" x14ac:dyDescent="0.25">
      <c r="A872">
        <v>31</v>
      </c>
      <c r="B872">
        <v>120</v>
      </c>
      <c r="C872">
        <v>60</v>
      </c>
      <c r="D872">
        <v>6.1</v>
      </c>
      <c r="E872">
        <v>98</v>
      </c>
      <c r="F872">
        <v>76</v>
      </c>
      <c r="G872" t="s">
        <v>9</v>
      </c>
      <c r="H872" s="1" t="str">
        <f t="shared" si="65"/>
        <v>30-40</v>
      </c>
      <c r="I872" s="1" t="str">
        <f t="shared" si="66"/>
        <v>Pre-High</v>
      </c>
      <c r="J872" s="1" t="str">
        <f t="shared" si="67"/>
        <v>Normal</v>
      </c>
      <c r="K872" s="1" t="str">
        <f t="shared" si="68"/>
        <v>Normal</v>
      </c>
      <c r="L872" s="1" t="str">
        <f t="shared" si="69"/>
        <v>Normal</v>
      </c>
    </row>
    <row r="873" spans="1:12" x14ac:dyDescent="0.25">
      <c r="A873">
        <v>29</v>
      </c>
      <c r="B873">
        <v>130</v>
      </c>
      <c r="C873">
        <v>70</v>
      </c>
      <c r="D873">
        <v>6.7</v>
      </c>
      <c r="E873">
        <v>98</v>
      </c>
      <c r="F873">
        <v>78</v>
      </c>
      <c r="G873" t="s">
        <v>9</v>
      </c>
      <c r="H873" s="1" t="str">
        <f t="shared" si="65"/>
        <v>20-30</v>
      </c>
      <c r="I873" s="1" t="str">
        <f t="shared" si="66"/>
        <v>Pre-High</v>
      </c>
      <c r="J873" s="1" t="str">
        <f t="shared" si="67"/>
        <v>Normal</v>
      </c>
      <c r="K873" s="1" t="str">
        <f t="shared" si="68"/>
        <v>Normal</v>
      </c>
      <c r="L873" s="1" t="str">
        <f t="shared" si="69"/>
        <v>Normal</v>
      </c>
    </row>
    <row r="874" spans="1:12" x14ac:dyDescent="0.25">
      <c r="A874">
        <v>17</v>
      </c>
      <c r="B874">
        <v>85</v>
      </c>
      <c r="C874">
        <v>60</v>
      </c>
      <c r="D874">
        <v>9</v>
      </c>
      <c r="E874">
        <v>102</v>
      </c>
      <c r="F874">
        <v>86</v>
      </c>
      <c r="G874" t="s">
        <v>9</v>
      </c>
      <c r="H874" s="1" t="str">
        <f t="shared" si="65"/>
        <v>10-20</v>
      </c>
      <c r="I874" s="1" t="str">
        <f t="shared" si="66"/>
        <v>Normal</v>
      </c>
      <c r="J874" s="1" t="str">
        <f t="shared" si="67"/>
        <v>Slightly High</v>
      </c>
      <c r="K874" s="1" t="str">
        <f t="shared" si="68"/>
        <v>High</v>
      </c>
      <c r="L874" s="1" t="str">
        <f t="shared" si="69"/>
        <v>High</v>
      </c>
    </row>
    <row r="875" spans="1:12" x14ac:dyDescent="0.25">
      <c r="A875">
        <v>19</v>
      </c>
      <c r="B875">
        <v>120</v>
      </c>
      <c r="C875">
        <v>80</v>
      </c>
      <c r="D875">
        <v>7</v>
      </c>
      <c r="E875">
        <v>98</v>
      </c>
      <c r="F875">
        <v>70</v>
      </c>
      <c r="G875" t="s">
        <v>9</v>
      </c>
      <c r="H875" s="1" t="str">
        <f t="shared" si="65"/>
        <v>10-20</v>
      </c>
      <c r="I875" s="1" t="str">
        <f t="shared" si="66"/>
        <v>Pre-High</v>
      </c>
      <c r="J875" s="1" t="str">
        <f t="shared" si="67"/>
        <v>Normal</v>
      </c>
      <c r="K875" s="1" t="str">
        <f t="shared" si="68"/>
        <v>Normal</v>
      </c>
      <c r="L875" s="1" t="str">
        <f t="shared" si="69"/>
        <v>Normal</v>
      </c>
    </row>
    <row r="876" spans="1:12" x14ac:dyDescent="0.25">
      <c r="A876">
        <v>20</v>
      </c>
      <c r="B876">
        <v>110</v>
      </c>
      <c r="C876">
        <v>60</v>
      </c>
      <c r="D876">
        <v>7</v>
      </c>
      <c r="E876">
        <v>100</v>
      </c>
      <c r="F876">
        <v>70</v>
      </c>
      <c r="G876" t="s">
        <v>9</v>
      </c>
      <c r="H876" s="1" t="str">
        <f t="shared" si="65"/>
        <v>10-20</v>
      </c>
      <c r="I876" s="1" t="str">
        <f t="shared" si="66"/>
        <v>Normal</v>
      </c>
      <c r="J876" s="1" t="str">
        <f t="shared" si="67"/>
        <v>Normal</v>
      </c>
      <c r="K876" s="1" t="str">
        <f t="shared" si="68"/>
        <v>Normal</v>
      </c>
      <c r="L876" s="1" t="str">
        <f t="shared" si="69"/>
        <v>High</v>
      </c>
    </row>
    <row r="877" spans="1:12" x14ac:dyDescent="0.25">
      <c r="A877">
        <v>32</v>
      </c>
      <c r="B877">
        <v>120</v>
      </c>
      <c r="C877">
        <v>65</v>
      </c>
      <c r="D877">
        <v>6</v>
      </c>
      <c r="E877">
        <v>101</v>
      </c>
      <c r="F877">
        <v>76</v>
      </c>
      <c r="G877" t="s">
        <v>9</v>
      </c>
      <c r="H877" s="1" t="str">
        <f t="shared" si="65"/>
        <v>30-40</v>
      </c>
      <c r="I877" s="1" t="str">
        <f t="shared" si="66"/>
        <v>Pre-High</v>
      </c>
      <c r="J877" s="1" t="str">
        <f t="shared" si="67"/>
        <v>Normal</v>
      </c>
      <c r="K877" s="1" t="str">
        <f t="shared" si="68"/>
        <v>Normal</v>
      </c>
      <c r="L877" s="1" t="str">
        <f t="shared" si="69"/>
        <v>High</v>
      </c>
    </row>
    <row r="878" spans="1:12" x14ac:dyDescent="0.25">
      <c r="A878">
        <v>27</v>
      </c>
      <c r="B878">
        <v>120</v>
      </c>
      <c r="C878">
        <v>70</v>
      </c>
      <c r="D878">
        <v>6.8</v>
      </c>
      <c r="E878">
        <v>98</v>
      </c>
      <c r="F878">
        <v>77</v>
      </c>
      <c r="G878" t="s">
        <v>8</v>
      </c>
      <c r="H878" s="1" t="str">
        <f t="shared" si="65"/>
        <v>20-30</v>
      </c>
      <c r="I878" s="1" t="str">
        <f t="shared" si="66"/>
        <v>Pre-High</v>
      </c>
      <c r="J878" s="1" t="str">
        <f t="shared" si="67"/>
        <v>Normal</v>
      </c>
      <c r="K878" s="1" t="str">
        <f t="shared" si="68"/>
        <v>Normal</v>
      </c>
      <c r="L878" s="1" t="str">
        <f t="shared" si="69"/>
        <v>Normal</v>
      </c>
    </row>
    <row r="879" spans="1:12" x14ac:dyDescent="0.25">
      <c r="A879">
        <v>27</v>
      </c>
      <c r="B879">
        <v>120</v>
      </c>
      <c r="C879">
        <v>70</v>
      </c>
      <c r="D879">
        <v>6.8</v>
      </c>
      <c r="E879">
        <v>98</v>
      </c>
      <c r="F879">
        <v>77</v>
      </c>
      <c r="G879" t="s">
        <v>8</v>
      </c>
      <c r="H879" s="1" t="str">
        <f t="shared" si="65"/>
        <v>20-30</v>
      </c>
      <c r="I879" s="1" t="str">
        <f t="shared" si="66"/>
        <v>Pre-High</v>
      </c>
      <c r="J879" s="1" t="str">
        <f t="shared" si="67"/>
        <v>Normal</v>
      </c>
      <c r="K879" s="1" t="str">
        <f t="shared" si="68"/>
        <v>Normal</v>
      </c>
      <c r="L879" s="1" t="str">
        <f t="shared" si="69"/>
        <v>Normal</v>
      </c>
    </row>
    <row r="880" spans="1:12" x14ac:dyDescent="0.25">
      <c r="A880">
        <v>32</v>
      </c>
      <c r="B880">
        <v>120</v>
      </c>
      <c r="C880">
        <v>90</v>
      </c>
      <c r="D880">
        <v>6.8</v>
      </c>
      <c r="E880">
        <v>98</v>
      </c>
      <c r="F880">
        <v>70</v>
      </c>
      <c r="G880" t="s">
        <v>8</v>
      </c>
      <c r="H880" s="1" t="str">
        <f t="shared" si="65"/>
        <v>30-40</v>
      </c>
      <c r="I880" s="1" t="str">
        <f t="shared" si="66"/>
        <v>High</v>
      </c>
      <c r="J880" s="1" t="str">
        <f t="shared" si="67"/>
        <v>Normal</v>
      </c>
      <c r="K880" s="1" t="str">
        <f t="shared" si="68"/>
        <v>Normal</v>
      </c>
      <c r="L880" s="1" t="str">
        <f t="shared" si="69"/>
        <v>Normal</v>
      </c>
    </row>
    <row r="881" spans="1:12" x14ac:dyDescent="0.25">
      <c r="A881">
        <v>23</v>
      </c>
      <c r="B881">
        <v>99</v>
      </c>
      <c r="C881">
        <v>60</v>
      </c>
      <c r="D881">
        <v>6.8</v>
      </c>
      <c r="E881">
        <v>98</v>
      </c>
      <c r="F881">
        <v>76</v>
      </c>
      <c r="G881" t="s">
        <v>8</v>
      </c>
      <c r="H881" s="1" t="str">
        <f t="shared" si="65"/>
        <v>20-30</v>
      </c>
      <c r="I881" s="1" t="str">
        <f t="shared" si="66"/>
        <v>Normal</v>
      </c>
      <c r="J881" s="1" t="str">
        <f t="shared" si="67"/>
        <v>Normal</v>
      </c>
      <c r="K881" s="1" t="str">
        <f t="shared" si="68"/>
        <v>Normal</v>
      </c>
      <c r="L881" s="1" t="str">
        <f t="shared" si="69"/>
        <v>Normal</v>
      </c>
    </row>
    <row r="882" spans="1:12" x14ac:dyDescent="0.25">
      <c r="A882">
        <v>15</v>
      </c>
      <c r="B882">
        <v>76</v>
      </c>
      <c r="C882">
        <v>49</v>
      </c>
      <c r="D882">
        <v>6.8</v>
      </c>
      <c r="E882">
        <v>98</v>
      </c>
      <c r="F882">
        <v>77</v>
      </c>
      <c r="G882" t="s">
        <v>8</v>
      </c>
      <c r="H882" s="1" t="str">
        <f t="shared" si="65"/>
        <v>10-20</v>
      </c>
      <c r="I882" s="1" t="str">
        <f t="shared" si="66"/>
        <v>Low BP</v>
      </c>
      <c r="J882" s="1" t="str">
        <f t="shared" si="67"/>
        <v>Normal</v>
      </c>
      <c r="K882" s="1" t="str">
        <f t="shared" si="68"/>
        <v>Normal</v>
      </c>
      <c r="L882" s="1" t="str">
        <f t="shared" si="69"/>
        <v>Normal</v>
      </c>
    </row>
    <row r="883" spans="1:12" x14ac:dyDescent="0.25">
      <c r="A883">
        <v>15</v>
      </c>
      <c r="B883">
        <v>120</v>
      </c>
      <c r="C883">
        <v>80</v>
      </c>
      <c r="D883">
        <v>6.8</v>
      </c>
      <c r="E883">
        <v>98</v>
      </c>
      <c r="F883">
        <v>70</v>
      </c>
      <c r="G883" t="s">
        <v>8</v>
      </c>
      <c r="H883" s="1" t="str">
        <f t="shared" si="65"/>
        <v>10-20</v>
      </c>
      <c r="I883" s="1" t="str">
        <f t="shared" si="66"/>
        <v>Pre-High</v>
      </c>
      <c r="J883" s="1" t="str">
        <f t="shared" si="67"/>
        <v>Normal</v>
      </c>
      <c r="K883" s="1" t="str">
        <f t="shared" si="68"/>
        <v>Normal</v>
      </c>
      <c r="L883" s="1" t="str">
        <f t="shared" si="69"/>
        <v>Normal</v>
      </c>
    </row>
    <row r="884" spans="1:12" x14ac:dyDescent="0.25">
      <c r="A884">
        <v>29</v>
      </c>
      <c r="B884">
        <v>100</v>
      </c>
      <c r="C884">
        <v>70</v>
      </c>
      <c r="D884">
        <v>6.8</v>
      </c>
      <c r="E884">
        <v>98</v>
      </c>
      <c r="F884">
        <v>80</v>
      </c>
      <c r="G884" t="s">
        <v>8</v>
      </c>
      <c r="H884" s="1" t="str">
        <f t="shared" si="65"/>
        <v>20-30</v>
      </c>
      <c r="I884" s="1" t="str">
        <f t="shared" si="66"/>
        <v>Normal</v>
      </c>
      <c r="J884" s="1" t="str">
        <f t="shared" si="67"/>
        <v>Normal</v>
      </c>
      <c r="K884" s="1" t="str">
        <f t="shared" si="68"/>
        <v>Normal</v>
      </c>
      <c r="L884" s="1" t="str">
        <f t="shared" si="69"/>
        <v>Normal</v>
      </c>
    </row>
    <row r="885" spans="1:12" x14ac:dyDescent="0.25">
      <c r="A885">
        <v>35</v>
      </c>
      <c r="B885">
        <v>120</v>
      </c>
      <c r="C885">
        <v>60</v>
      </c>
      <c r="D885">
        <v>6.1</v>
      </c>
      <c r="E885">
        <v>98</v>
      </c>
      <c r="F885">
        <v>76</v>
      </c>
      <c r="G885" t="s">
        <v>8</v>
      </c>
      <c r="H885" s="1" t="str">
        <f t="shared" si="65"/>
        <v>30-40</v>
      </c>
      <c r="I885" s="1" t="str">
        <f t="shared" si="66"/>
        <v>Pre-High</v>
      </c>
      <c r="J885" s="1" t="str">
        <f t="shared" si="67"/>
        <v>Normal</v>
      </c>
      <c r="K885" s="1" t="str">
        <f t="shared" si="68"/>
        <v>Normal</v>
      </c>
      <c r="L885" s="1" t="str">
        <f t="shared" si="69"/>
        <v>Normal</v>
      </c>
    </row>
    <row r="886" spans="1:12" x14ac:dyDescent="0.25">
      <c r="A886">
        <v>32</v>
      </c>
      <c r="B886">
        <v>120</v>
      </c>
      <c r="C886">
        <v>90</v>
      </c>
      <c r="D886">
        <v>6.8</v>
      </c>
      <c r="E886">
        <v>98</v>
      </c>
      <c r="F886">
        <v>70</v>
      </c>
      <c r="G886" t="s">
        <v>8</v>
      </c>
      <c r="H886" s="1" t="str">
        <f t="shared" si="65"/>
        <v>30-40</v>
      </c>
      <c r="I886" s="1" t="str">
        <f t="shared" si="66"/>
        <v>High</v>
      </c>
      <c r="J886" s="1" t="str">
        <f t="shared" si="67"/>
        <v>Normal</v>
      </c>
      <c r="K886" s="1" t="str">
        <f t="shared" si="68"/>
        <v>Normal</v>
      </c>
      <c r="L886" s="1" t="str">
        <f t="shared" si="69"/>
        <v>Normal</v>
      </c>
    </row>
    <row r="887" spans="1:12" x14ac:dyDescent="0.25">
      <c r="A887">
        <v>23</v>
      </c>
      <c r="B887">
        <v>90</v>
      </c>
      <c r="C887">
        <v>60</v>
      </c>
      <c r="D887">
        <v>6.8</v>
      </c>
      <c r="E887">
        <v>98</v>
      </c>
      <c r="F887">
        <v>76</v>
      </c>
      <c r="G887" t="s">
        <v>8</v>
      </c>
      <c r="H887" s="1" t="str">
        <f t="shared" si="65"/>
        <v>20-30</v>
      </c>
      <c r="I887" s="1" t="str">
        <f t="shared" si="66"/>
        <v>Normal</v>
      </c>
      <c r="J887" s="1" t="str">
        <f t="shared" si="67"/>
        <v>Normal</v>
      </c>
      <c r="K887" s="1" t="str">
        <f t="shared" si="68"/>
        <v>Normal</v>
      </c>
      <c r="L887" s="1" t="str">
        <f t="shared" si="69"/>
        <v>Normal</v>
      </c>
    </row>
    <row r="888" spans="1:12" x14ac:dyDescent="0.25">
      <c r="A888">
        <v>15</v>
      </c>
      <c r="B888">
        <v>76</v>
      </c>
      <c r="C888">
        <v>49</v>
      </c>
      <c r="D888">
        <v>6.8</v>
      </c>
      <c r="E888">
        <v>98</v>
      </c>
      <c r="F888">
        <v>77</v>
      </c>
      <c r="G888" t="s">
        <v>8</v>
      </c>
      <c r="H888" s="1" t="str">
        <f t="shared" si="65"/>
        <v>10-20</v>
      </c>
      <c r="I888" s="1" t="str">
        <f t="shared" si="66"/>
        <v>Low BP</v>
      </c>
      <c r="J888" s="1" t="str">
        <f t="shared" si="67"/>
        <v>Normal</v>
      </c>
      <c r="K888" s="1" t="str">
        <f t="shared" si="68"/>
        <v>Normal</v>
      </c>
      <c r="L888" s="1" t="str">
        <f t="shared" si="69"/>
        <v>Normal</v>
      </c>
    </row>
    <row r="889" spans="1:12" x14ac:dyDescent="0.25">
      <c r="A889">
        <v>20</v>
      </c>
      <c r="B889">
        <v>120</v>
      </c>
      <c r="C889">
        <v>75</v>
      </c>
      <c r="D889">
        <v>6.8</v>
      </c>
      <c r="E889">
        <v>98</v>
      </c>
      <c r="F889">
        <v>70</v>
      </c>
      <c r="G889" t="s">
        <v>8</v>
      </c>
      <c r="H889" s="1" t="str">
        <f t="shared" si="65"/>
        <v>10-20</v>
      </c>
      <c r="I889" s="1" t="str">
        <f t="shared" si="66"/>
        <v>Pre-High</v>
      </c>
      <c r="J889" s="1" t="str">
        <f t="shared" si="67"/>
        <v>Normal</v>
      </c>
      <c r="K889" s="1" t="str">
        <f t="shared" si="68"/>
        <v>Normal</v>
      </c>
      <c r="L889" s="1" t="str">
        <f t="shared" si="69"/>
        <v>Normal</v>
      </c>
    </row>
    <row r="890" spans="1:12" x14ac:dyDescent="0.25">
      <c r="A890">
        <v>48</v>
      </c>
      <c r="B890">
        <v>120</v>
      </c>
      <c r="C890">
        <v>80</v>
      </c>
      <c r="D890">
        <v>11</v>
      </c>
      <c r="E890">
        <v>98</v>
      </c>
      <c r="F890">
        <v>88</v>
      </c>
      <c r="G890" t="s">
        <v>8</v>
      </c>
      <c r="H890" s="1" t="str">
        <f t="shared" si="65"/>
        <v>40-50</v>
      </c>
      <c r="I890" s="1" t="str">
        <f t="shared" si="66"/>
        <v>Pre-High</v>
      </c>
      <c r="J890" s="1" t="str">
        <f t="shared" si="67"/>
        <v>Slightly High</v>
      </c>
      <c r="K890" s="1" t="str">
        <f t="shared" si="68"/>
        <v>High</v>
      </c>
      <c r="L890" s="1" t="str">
        <f t="shared" si="69"/>
        <v>Normal</v>
      </c>
    </row>
    <row r="891" spans="1:12" x14ac:dyDescent="0.25">
      <c r="A891">
        <v>15</v>
      </c>
      <c r="B891">
        <v>120</v>
      </c>
      <c r="C891">
        <v>80</v>
      </c>
      <c r="D891">
        <v>6.8</v>
      </c>
      <c r="E891">
        <v>98</v>
      </c>
      <c r="F891">
        <v>70</v>
      </c>
      <c r="G891" t="s">
        <v>8</v>
      </c>
      <c r="H891" s="1" t="str">
        <f t="shared" si="65"/>
        <v>10-20</v>
      </c>
      <c r="I891" s="1" t="str">
        <f t="shared" si="66"/>
        <v>Pre-High</v>
      </c>
      <c r="J891" s="1" t="str">
        <f t="shared" si="67"/>
        <v>Normal</v>
      </c>
      <c r="K891" s="1" t="str">
        <f t="shared" si="68"/>
        <v>Normal</v>
      </c>
      <c r="L891" s="1" t="str">
        <f t="shared" si="69"/>
        <v>Normal</v>
      </c>
    </row>
    <row r="892" spans="1:12" x14ac:dyDescent="0.25">
      <c r="A892">
        <v>30</v>
      </c>
      <c r="B892">
        <v>120</v>
      </c>
      <c r="C892">
        <v>80</v>
      </c>
      <c r="D892">
        <v>6.8</v>
      </c>
      <c r="E892">
        <v>101</v>
      </c>
      <c r="F892">
        <v>76</v>
      </c>
      <c r="G892" t="s">
        <v>8</v>
      </c>
      <c r="H892" s="1" t="str">
        <f t="shared" si="65"/>
        <v>20-30</v>
      </c>
      <c r="I892" s="1" t="str">
        <f t="shared" si="66"/>
        <v>Pre-High</v>
      </c>
      <c r="J892" s="1" t="str">
        <f t="shared" si="67"/>
        <v>Normal</v>
      </c>
      <c r="K892" s="1" t="str">
        <f t="shared" si="68"/>
        <v>Normal</v>
      </c>
      <c r="L892" s="1" t="str">
        <f t="shared" si="69"/>
        <v>High</v>
      </c>
    </row>
    <row r="893" spans="1:12" x14ac:dyDescent="0.25">
      <c r="A893">
        <v>18</v>
      </c>
      <c r="B893">
        <v>120</v>
      </c>
      <c r="C893">
        <v>80</v>
      </c>
      <c r="D893">
        <v>6.8</v>
      </c>
      <c r="E893">
        <v>102</v>
      </c>
      <c r="F893">
        <v>76</v>
      </c>
      <c r="G893" t="s">
        <v>8</v>
      </c>
      <c r="H893" s="1" t="str">
        <f t="shared" si="65"/>
        <v>10-20</v>
      </c>
      <c r="I893" s="1" t="str">
        <f t="shared" si="66"/>
        <v>Pre-High</v>
      </c>
      <c r="J893" s="1" t="str">
        <f t="shared" si="67"/>
        <v>Normal</v>
      </c>
      <c r="K893" s="1" t="str">
        <f t="shared" si="68"/>
        <v>Normal</v>
      </c>
      <c r="L893" s="1" t="str">
        <f t="shared" si="69"/>
        <v>High</v>
      </c>
    </row>
    <row r="894" spans="1:12" x14ac:dyDescent="0.25">
      <c r="A894">
        <v>17</v>
      </c>
      <c r="B894">
        <v>90</v>
      </c>
      <c r="C894">
        <v>60</v>
      </c>
      <c r="D894">
        <v>7.9</v>
      </c>
      <c r="E894">
        <v>101</v>
      </c>
      <c r="F894">
        <v>76</v>
      </c>
      <c r="G894" t="s">
        <v>8</v>
      </c>
      <c r="H894" s="1" t="str">
        <f t="shared" si="65"/>
        <v>10-20</v>
      </c>
      <c r="I894" s="1" t="str">
        <f t="shared" si="66"/>
        <v>Normal</v>
      </c>
      <c r="J894" s="1" t="str">
        <f t="shared" si="67"/>
        <v>Normal</v>
      </c>
      <c r="K894" s="1" t="str">
        <f t="shared" si="68"/>
        <v>Normal</v>
      </c>
      <c r="L894" s="1" t="str">
        <f t="shared" si="69"/>
        <v>High</v>
      </c>
    </row>
    <row r="895" spans="1:12" x14ac:dyDescent="0.25">
      <c r="A895">
        <v>15</v>
      </c>
      <c r="B895">
        <v>76</v>
      </c>
      <c r="C895">
        <v>49</v>
      </c>
      <c r="D895">
        <v>7.9</v>
      </c>
      <c r="E895">
        <v>98</v>
      </c>
      <c r="F895">
        <v>77</v>
      </c>
      <c r="G895" t="s">
        <v>8</v>
      </c>
      <c r="H895" s="1" t="str">
        <f t="shared" si="65"/>
        <v>10-20</v>
      </c>
      <c r="I895" s="1" t="str">
        <f t="shared" si="66"/>
        <v>Low BP</v>
      </c>
      <c r="J895" s="1" t="str">
        <f t="shared" si="67"/>
        <v>Normal</v>
      </c>
      <c r="K895" s="1" t="str">
        <f t="shared" si="68"/>
        <v>Normal</v>
      </c>
      <c r="L895" s="1" t="str">
        <f t="shared" si="69"/>
        <v>Normal</v>
      </c>
    </row>
    <row r="896" spans="1:12" x14ac:dyDescent="0.25">
      <c r="A896">
        <v>19</v>
      </c>
      <c r="B896">
        <v>120</v>
      </c>
      <c r="C896">
        <v>75</v>
      </c>
      <c r="D896">
        <v>7.9</v>
      </c>
      <c r="E896">
        <v>98</v>
      </c>
      <c r="F896">
        <v>70</v>
      </c>
      <c r="G896" t="s">
        <v>8</v>
      </c>
      <c r="H896" s="1" t="str">
        <f t="shared" si="65"/>
        <v>10-20</v>
      </c>
      <c r="I896" s="1" t="str">
        <f t="shared" si="66"/>
        <v>Pre-High</v>
      </c>
      <c r="J896" s="1" t="str">
        <f t="shared" si="67"/>
        <v>Normal</v>
      </c>
      <c r="K896" s="1" t="str">
        <f t="shared" si="68"/>
        <v>Normal</v>
      </c>
      <c r="L896" s="1" t="str">
        <f t="shared" si="69"/>
        <v>Normal</v>
      </c>
    </row>
    <row r="897" spans="1:12" x14ac:dyDescent="0.25">
      <c r="A897">
        <v>48</v>
      </c>
      <c r="B897">
        <v>120</v>
      </c>
      <c r="C897">
        <v>80</v>
      </c>
      <c r="D897">
        <v>11</v>
      </c>
      <c r="E897">
        <v>98</v>
      </c>
      <c r="F897">
        <v>88</v>
      </c>
      <c r="G897" t="s">
        <v>8</v>
      </c>
      <c r="H897" s="1" t="str">
        <f t="shared" si="65"/>
        <v>40-50</v>
      </c>
      <c r="I897" s="1" t="str">
        <f t="shared" si="66"/>
        <v>Pre-High</v>
      </c>
      <c r="J897" s="1" t="str">
        <f t="shared" si="67"/>
        <v>Slightly High</v>
      </c>
      <c r="K897" s="1" t="str">
        <f t="shared" si="68"/>
        <v>High</v>
      </c>
      <c r="L897" s="1" t="str">
        <f t="shared" si="69"/>
        <v>Normal</v>
      </c>
    </row>
    <row r="898" spans="1:12" x14ac:dyDescent="0.25">
      <c r="A898">
        <v>15</v>
      </c>
      <c r="B898">
        <v>120</v>
      </c>
      <c r="C898">
        <v>80</v>
      </c>
      <c r="D898">
        <v>7.9</v>
      </c>
      <c r="E898">
        <v>98</v>
      </c>
      <c r="F898">
        <v>70</v>
      </c>
      <c r="G898" t="s">
        <v>8</v>
      </c>
      <c r="H898" s="1" t="str">
        <f t="shared" si="65"/>
        <v>10-20</v>
      </c>
      <c r="I898" s="1" t="str">
        <f t="shared" si="66"/>
        <v>Pre-High</v>
      </c>
      <c r="J898" s="1" t="str">
        <f t="shared" si="67"/>
        <v>Normal</v>
      </c>
      <c r="K898" s="1" t="str">
        <f t="shared" si="68"/>
        <v>Normal</v>
      </c>
      <c r="L898" s="1" t="str">
        <f t="shared" si="69"/>
        <v>Normal</v>
      </c>
    </row>
    <row r="899" spans="1:12" x14ac:dyDescent="0.25">
      <c r="A899">
        <v>22</v>
      </c>
      <c r="B899">
        <v>100</v>
      </c>
      <c r="C899">
        <v>65</v>
      </c>
      <c r="D899">
        <v>7.9</v>
      </c>
      <c r="E899">
        <v>98</v>
      </c>
      <c r="F899">
        <v>80</v>
      </c>
      <c r="G899" t="s">
        <v>8</v>
      </c>
      <c r="H899" s="1" t="str">
        <f t="shared" ref="H899:H962" si="70">IF(A899&lt;=20,"10-20",
 IF(A899&lt;=30,"20-30",
 IF(A899&lt;=40,"30-40",
 IF(A899&lt;=50,"40-50","50+"))))</f>
        <v>20-30</v>
      </c>
      <c r="I899" s="1" t="str">
        <f t="shared" ref="I899:I962" si="71">IF(AND(B899&lt;90,C899&lt;60),"Low BP",
 IF(AND(B899&lt;120,C899&lt;80),"Normal",
 IF(AND(B899&lt;140,C899&lt;90),"Pre-High",
 IF(AND(B899&lt;160,C899&lt;100),"High","Critical"))))</f>
        <v>Normal</v>
      </c>
      <c r="J899" s="1" t="str">
        <f t="shared" ref="J899:J962" si="72">IF(D899&lt;8,"Normal",
 IF(D899&lt;12,"Slightly High","High"))</f>
        <v>Normal</v>
      </c>
      <c r="K899" s="1" t="str">
        <f t="shared" ref="K899:K962" si="73">IF(F899&lt;70,"Low",
 IF(F899&lt;=85,"Normal","High"))</f>
        <v>Normal</v>
      </c>
      <c r="L899" s="1" t="str">
        <f t="shared" ref="L899:L962" si="74">IF(E899&lt;97.5,"Low",
 IF(E899&lt;=99,"Normal","High"))</f>
        <v>Normal</v>
      </c>
    </row>
    <row r="900" spans="1:12" x14ac:dyDescent="0.25">
      <c r="A900">
        <v>35</v>
      </c>
      <c r="B900">
        <v>100</v>
      </c>
      <c r="C900">
        <v>70</v>
      </c>
      <c r="D900">
        <v>7.9</v>
      </c>
      <c r="E900">
        <v>98</v>
      </c>
      <c r="F900">
        <v>60</v>
      </c>
      <c r="G900" t="s">
        <v>8</v>
      </c>
      <c r="H900" s="1" t="str">
        <f t="shared" si="70"/>
        <v>30-40</v>
      </c>
      <c r="I900" s="1" t="str">
        <f t="shared" si="71"/>
        <v>Normal</v>
      </c>
      <c r="J900" s="1" t="str">
        <f t="shared" si="72"/>
        <v>Normal</v>
      </c>
      <c r="K900" s="1" t="str">
        <f t="shared" si="73"/>
        <v>Low</v>
      </c>
      <c r="L900" s="1" t="str">
        <f t="shared" si="74"/>
        <v>Normal</v>
      </c>
    </row>
    <row r="901" spans="1:12" x14ac:dyDescent="0.25">
      <c r="A901">
        <v>19</v>
      </c>
      <c r="B901">
        <v>120</v>
      </c>
      <c r="C901">
        <v>85</v>
      </c>
      <c r="D901">
        <v>7.9</v>
      </c>
      <c r="E901">
        <v>98</v>
      </c>
      <c r="F901">
        <v>60</v>
      </c>
      <c r="G901" t="s">
        <v>8</v>
      </c>
      <c r="H901" s="1" t="str">
        <f t="shared" si="70"/>
        <v>10-20</v>
      </c>
      <c r="I901" s="1" t="str">
        <f t="shared" si="71"/>
        <v>Pre-High</v>
      </c>
      <c r="J901" s="1" t="str">
        <f t="shared" si="72"/>
        <v>Normal</v>
      </c>
      <c r="K901" s="1" t="str">
        <f t="shared" si="73"/>
        <v>Low</v>
      </c>
      <c r="L901" s="1" t="str">
        <f t="shared" si="74"/>
        <v>Normal</v>
      </c>
    </row>
    <row r="902" spans="1:12" x14ac:dyDescent="0.25">
      <c r="A902">
        <v>60</v>
      </c>
      <c r="B902">
        <v>90</v>
      </c>
      <c r="C902">
        <v>65</v>
      </c>
      <c r="D902">
        <v>7.9</v>
      </c>
      <c r="E902">
        <v>98</v>
      </c>
      <c r="F902">
        <v>77</v>
      </c>
      <c r="G902" t="s">
        <v>8</v>
      </c>
      <c r="H902" s="1" t="str">
        <f t="shared" si="70"/>
        <v>50+</v>
      </c>
      <c r="I902" s="1" t="str">
        <f t="shared" si="71"/>
        <v>Normal</v>
      </c>
      <c r="J902" s="1" t="str">
        <f t="shared" si="72"/>
        <v>Normal</v>
      </c>
      <c r="K902" s="1" t="str">
        <f t="shared" si="73"/>
        <v>Normal</v>
      </c>
      <c r="L902" s="1" t="str">
        <f t="shared" si="74"/>
        <v>Normal</v>
      </c>
    </row>
    <row r="903" spans="1:12" x14ac:dyDescent="0.25">
      <c r="A903">
        <v>50</v>
      </c>
      <c r="B903">
        <v>120</v>
      </c>
      <c r="C903">
        <v>80</v>
      </c>
      <c r="D903">
        <v>7.9</v>
      </c>
      <c r="E903">
        <v>98</v>
      </c>
      <c r="F903">
        <v>70</v>
      </c>
      <c r="G903" t="s">
        <v>8</v>
      </c>
      <c r="H903" s="1" t="str">
        <f t="shared" si="70"/>
        <v>40-50</v>
      </c>
      <c r="I903" s="1" t="str">
        <f t="shared" si="71"/>
        <v>Pre-High</v>
      </c>
      <c r="J903" s="1" t="str">
        <f t="shared" si="72"/>
        <v>Normal</v>
      </c>
      <c r="K903" s="1" t="str">
        <f t="shared" si="73"/>
        <v>Normal</v>
      </c>
      <c r="L903" s="1" t="str">
        <f t="shared" si="74"/>
        <v>Normal</v>
      </c>
    </row>
    <row r="904" spans="1:12" x14ac:dyDescent="0.25">
      <c r="A904">
        <v>17</v>
      </c>
      <c r="B904">
        <v>85</v>
      </c>
      <c r="C904">
        <v>60</v>
      </c>
      <c r="D904">
        <v>7.9</v>
      </c>
      <c r="E904">
        <v>102</v>
      </c>
      <c r="F904">
        <v>86</v>
      </c>
      <c r="G904" t="s">
        <v>8</v>
      </c>
      <c r="H904" s="1" t="str">
        <f t="shared" si="70"/>
        <v>10-20</v>
      </c>
      <c r="I904" s="1" t="str">
        <f t="shared" si="71"/>
        <v>Normal</v>
      </c>
      <c r="J904" s="1" t="str">
        <f t="shared" si="72"/>
        <v>Normal</v>
      </c>
      <c r="K904" s="1" t="str">
        <f t="shared" si="73"/>
        <v>High</v>
      </c>
      <c r="L904" s="1" t="str">
        <f t="shared" si="74"/>
        <v>High</v>
      </c>
    </row>
    <row r="905" spans="1:12" x14ac:dyDescent="0.25">
      <c r="A905">
        <v>32</v>
      </c>
      <c r="B905">
        <v>120</v>
      </c>
      <c r="C905">
        <v>90</v>
      </c>
      <c r="D905">
        <v>7.9</v>
      </c>
      <c r="E905">
        <v>98</v>
      </c>
      <c r="F905">
        <v>70</v>
      </c>
      <c r="G905" t="s">
        <v>8</v>
      </c>
      <c r="H905" s="1" t="str">
        <f t="shared" si="70"/>
        <v>30-40</v>
      </c>
      <c r="I905" s="1" t="str">
        <f t="shared" si="71"/>
        <v>High</v>
      </c>
      <c r="J905" s="1" t="str">
        <f t="shared" si="72"/>
        <v>Normal</v>
      </c>
      <c r="K905" s="1" t="str">
        <f t="shared" si="73"/>
        <v>Normal</v>
      </c>
      <c r="L905" s="1" t="str">
        <f t="shared" si="74"/>
        <v>Normal</v>
      </c>
    </row>
    <row r="906" spans="1:12" x14ac:dyDescent="0.25">
      <c r="A906">
        <v>42</v>
      </c>
      <c r="B906">
        <v>120</v>
      </c>
      <c r="C906">
        <v>80</v>
      </c>
      <c r="D906">
        <v>7.9</v>
      </c>
      <c r="E906">
        <v>98</v>
      </c>
      <c r="F906">
        <v>70</v>
      </c>
      <c r="G906" t="s">
        <v>8</v>
      </c>
      <c r="H906" s="1" t="str">
        <f t="shared" si="70"/>
        <v>40-50</v>
      </c>
      <c r="I906" s="1" t="str">
        <f t="shared" si="71"/>
        <v>Pre-High</v>
      </c>
      <c r="J906" s="1" t="str">
        <f t="shared" si="72"/>
        <v>Normal</v>
      </c>
      <c r="K906" s="1" t="str">
        <f t="shared" si="73"/>
        <v>Normal</v>
      </c>
      <c r="L906" s="1" t="str">
        <f t="shared" si="74"/>
        <v>Normal</v>
      </c>
    </row>
    <row r="907" spans="1:12" x14ac:dyDescent="0.25">
      <c r="A907">
        <v>23</v>
      </c>
      <c r="B907">
        <v>90</v>
      </c>
      <c r="C907">
        <v>60</v>
      </c>
      <c r="D907">
        <v>7.9</v>
      </c>
      <c r="E907">
        <v>98</v>
      </c>
      <c r="F907">
        <v>76</v>
      </c>
      <c r="G907" t="s">
        <v>8</v>
      </c>
      <c r="H907" s="1" t="str">
        <f t="shared" si="70"/>
        <v>20-30</v>
      </c>
      <c r="I907" s="1" t="str">
        <f t="shared" si="71"/>
        <v>Normal</v>
      </c>
      <c r="J907" s="1" t="str">
        <f t="shared" si="72"/>
        <v>Normal</v>
      </c>
      <c r="K907" s="1" t="str">
        <f t="shared" si="73"/>
        <v>Normal</v>
      </c>
      <c r="L907" s="1" t="str">
        <f t="shared" si="74"/>
        <v>Normal</v>
      </c>
    </row>
    <row r="908" spans="1:12" x14ac:dyDescent="0.25">
      <c r="A908">
        <v>19</v>
      </c>
      <c r="B908">
        <v>120</v>
      </c>
      <c r="C908">
        <v>80</v>
      </c>
      <c r="D908">
        <v>7</v>
      </c>
      <c r="E908">
        <v>98</v>
      </c>
      <c r="F908">
        <v>70</v>
      </c>
      <c r="G908" t="s">
        <v>8</v>
      </c>
      <c r="H908" s="1" t="str">
        <f t="shared" si="70"/>
        <v>10-20</v>
      </c>
      <c r="I908" s="1" t="str">
        <f t="shared" si="71"/>
        <v>Pre-High</v>
      </c>
      <c r="J908" s="1" t="str">
        <f t="shared" si="72"/>
        <v>Normal</v>
      </c>
      <c r="K908" s="1" t="str">
        <f t="shared" si="73"/>
        <v>Normal</v>
      </c>
      <c r="L908" s="1" t="str">
        <f t="shared" si="74"/>
        <v>Normal</v>
      </c>
    </row>
    <row r="909" spans="1:12" x14ac:dyDescent="0.25">
      <c r="A909">
        <v>15</v>
      </c>
      <c r="B909">
        <v>76</v>
      </c>
      <c r="C909">
        <v>49</v>
      </c>
      <c r="D909">
        <v>7.9</v>
      </c>
      <c r="E909">
        <v>98</v>
      </c>
      <c r="F909">
        <v>77</v>
      </c>
      <c r="G909" t="s">
        <v>8</v>
      </c>
      <c r="H909" s="1" t="str">
        <f t="shared" si="70"/>
        <v>10-20</v>
      </c>
      <c r="I909" s="1" t="str">
        <f t="shared" si="71"/>
        <v>Low BP</v>
      </c>
      <c r="J909" s="1" t="str">
        <f t="shared" si="72"/>
        <v>Normal</v>
      </c>
      <c r="K909" s="1" t="str">
        <f t="shared" si="73"/>
        <v>Normal</v>
      </c>
      <c r="L909" s="1" t="str">
        <f t="shared" si="74"/>
        <v>Normal</v>
      </c>
    </row>
    <row r="910" spans="1:12" x14ac:dyDescent="0.25">
      <c r="A910">
        <v>16</v>
      </c>
      <c r="B910">
        <v>120</v>
      </c>
      <c r="C910">
        <v>75</v>
      </c>
      <c r="D910">
        <v>7.9</v>
      </c>
      <c r="E910">
        <v>98</v>
      </c>
      <c r="F910">
        <v>7</v>
      </c>
      <c r="G910" t="s">
        <v>8</v>
      </c>
      <c r="H910" s="1" t="str">
        <f t="shared" si="70"/>
        <v>10-20</v>
      </c>
      <c r="I910" s="1" t="str">
        <f t="shared" si="71"/>
        <v>Pre-High</v>
      </c>
      <c r="J910" s="1" t="str">
        <f t="shared" si="72"/>
        <v>Normal</v>
      </c>
      <c r="K910" s="1" t="str">
        <f t="shared" si="73"/>
        <v>Low</v>
      </c>
      <c r="L910" s="1" t="str">
        <f t="shared" si="74"/>
        <v>Normal</v>
      </c>
    </row>
    <row r="911" spans="1:12" x14ac:dyDescent="0.25">
      <c r="A911">
        <v>15</v>
      </c>
      <c r="B911">
        <v>120</v>
      </c>
      <c r="C911">
        <v>80</v>
      </c>
      <c r="D911">
        <v>7.9</v>
      </c>
      <c r="E911">
        <v>98</v>
      </c>
      <c r="F911">
        <v>70</v>
      </c>
      <c r="G911" t="s">
        <v>8</v>
      </c>
      <c r="H911" s="1" t="str">
        <f t="shared" si="70"/>
        <v>10-20</v>
      </c>
      <c r="I911" s="1" t="str">
        <f t="shared" si="71"/>
        <v>Pre-High</v>
      </c>
      <c r="J911" s="1" t="str">
        <f t="shared" si="72"/>
        <v>Normal</v>
      </c>
      <c r="K911" s="1" t="str">
        <f t="shared" si="73"/>
        <v>Normal</v>
      </c>
      <c r="L911" s="1" t="str">
        <f t="shared" si="74"/>
        <v>Normal</v>
      </c>
    </row>
    <row r="912" spans="1:12" x14ac:dyDescent="0.25">
      <c r="A912">
        <v>17</v>
      </c>
      <c r="B912">
        <v>70</v>
      </c>
      <c r="C912">
        <v>50</v>
      </c>
      <c r="D912">
        <v>7.9</v>
      </c>
      <c r="E912">
        <v>98</v>
      </c>
      <c r="F912">
        <v>70</v>
      </c>
      <c r="G912" t="s">
        <v>8</v>
      </c>
      <c r="H912" s="1" t="str">
        <f t="shared" si="70"/>
        <v>10-20</v>
      </c>
      <c r="I912" s="1" t="str">
        <f t="shared" si="71"/>
        <v>Low BP</v>
      </c>
      <c r="J912" s="1" t="str">
        <f t="shared" si="72"/>
        <v>Normal</v>
      </c>
      <c r="K912" s="1" t="str">
        <f t="shared" si="73"/>
        <v>Normal</v>
      </c>
      <c r="L912" s="1" t="str">
        <f t="shared" si="74"/>
        <v>Normal</v>
      </c>
    </row>
    <row r="913" spans="1:12" x14ac:dyDescent="0.25">
      <c r="A913">
        <v>17</v>
      </c>
      <c r="B913">
        <v>90</v>
      </c>
      <c r="C913">
        <v>60</v>
      </c>
      <c r="D913">
        <v>7.5</v>
      </c>
      <c r="E913">
        <v>101</v>
      </c>
      <c r="F913">
        <v>76</v>
      </c>
      <c r="G913" t="s">
        <v>8</v>
      </c>
      <c r="H913" s="1" t="str">
        <f t="shared" si="70"/>
        <v>10-20</v>
      </c>
      <c r="I913" s="1" t="str">
        <f t="shared" si="71"/>
        <v>Normal</v>
      </c>
      <c r="J913" s="1" t="str">
        <f t="shared" si="72"/>
        <v>Normal</v>
      </c>
      <c r="K913" s="1" t="str">
        <f t="shared" si="73"/>
        <v>Normal</v>
      </c>
      <c r="L913" s="1" t="str">
        <f t="shared" si="74"/>
        <v>High</v>
      </c>
    </row>
    <row r="914" spans="1:12" x14ac:dyDescent="0.25">
      <c r="A914">
        <v>17</v>
      </c>
      <c r="B914">
        <v>90</v>
      </c>
      <c r="C914">
        <v>63</v>
      </c>
      <c r="D914">
        <v>7.5</v>
      </c>
      <c r="E914">
        <v>101</v>
      </c>
      <c r="F914">
        <v>70</v>
      </c>
      <c r="G914" t="s">
        <v>8</v>
      </c>
      <c r="H914" s="1" t="str">
        <f t="shared" si="70"/>
        <v>10-20</v>
      </c>
      <c r="I914" s="1" t="str">
        <f t="shared" si="71"/>
        <v>Normal</v>
      </c>
      <c r="J914" s="1" t="str">
        <f t="shared" si="72"/>
        <v>Normal</v>
      </c>
      <c r="K914" s="1" t="str">
        <f t="shared" si="73"/>
        <v>Normal</v>
      </c>
      <c r="L914" s="1" t="str">
        <f t="shared" si="74"/>
        <v>High</v>
      </c>
    </row>
    <row r="915" spans="1:12" x14ac:dyDescent="0.25">
      <c r="A915">
        <v>25</v>
      </c>
      <c r="B915">
        <v>120</v>
      </c>
      <c r="C915">
        <v>90</v>
      </c>
      <c r="D915">
        <v>7.5</v>
      </c>
      <c r="E915">
        <v>101</v>
      </c>
      <c r="F915">
        <v>80</v>
      </c>
      <c r="G915" t="s">
        <v>8</v>
      </c>
      <c r="H915" s="1" t="str">
        <f t="shared" si="70"/>
        <v>20-30</v>
      </c>
      <c r="I915" s="1" t="str">
        <f t="shared" si="71"/>
        <v>High</v>
      </c>
      <c r="J915" s="1" t="str">
        <f t="shared" si="72"/>
        <v>Normal</v>
      </c>
      <c r="K915" s="1" t="str">
        <f t="shared" si="73"/>
        <v>Normal</v>
      </c>
      <c r="L915" s="1" t="str">
        <f t="shared" si="74"/>
        <v>High</v>
      </c>
    </row>
    <row r="916" spans="1:12" x14ac:dyDescent="0.25">
      <c r="A916">
        <v>17</v>
      </c>
      <c r="B916">
        <v>120</v>
      </c>
      <c r="C916">
        <v>80</v>
      </c>
      <c r="D916">
        <v>7.5</v>
      </c>
      <c r="E916">
        <v>102</v>
      </c>
      <c r="F916">
        <v>76</v>
      </c>
      <c r="G916" t="s">
        <v>8</v>
      </c>
      <c r="H916" s="1" t="str">
        <f t="shared" si="70"/>
        <v>10-20</v>
      </c>
      <c r="I916" s="1" t="str">
        <f t="shared" si="71"/>
        <v>Pre-High</v>
      </c>
      <c r="J916" s="1" t="str">
        <f t="shared" si="72"/>
        <v>Normal</v>
      </c>
      <c r="K916" s="1" t="str">
        <f t="shared" si="73"/>
        <v>Normal</v>
      </c>
      <c r="L916" s="1" t="str">
        <f t="shared" si="74"/>
        <v>High</v>
      </c>
    </row>
    <row r="917" spans="1:12" x14ac:dyDescent="0.25">
      <c r="A917">
        <v>19</v>
      </c>
      <c r="B917">
        <v>90</v>
      </c>
      <c r="C917">
        <v>65</v>
      </c>
      <c r="D917">
        <v>7.5</v>
      </c>
      <c r="E917">
        <v>101</v>
      </c>
      <c r="F917">
        <v>70</v>
      </c>
      <c r="G917" t="s">
        <v>8</v>
      </c>
      <c r="H917" s="1" t="str">
        <f t="shared" si="70"/>
        <v>10-20</v>
      </c>
      <c r="I917" s="1" t="str">
        <f t="shared" si="71"/>
        <v>Normal</v>
      </c>
      <c r="J917" s="1" t="str">
        <f t="shared" si="72"/>
        <v>Normal</v>
      </c>
      <c r="K917" s="1" t="str">
        <f t="shared" si="73"/>
        <v>Normal</v>
      </c>
      <c r="L917" s="1" t="str">
        <f t="shared" si="74"/>
        <v>High</v>
      </c>
    </row>
    <row r="918" spans="1:12" x14ac:dyDescent="0.25">
      <c r="A918">
        <v>15</v>
      </c>
      <c r="B918">
        <v>80</v>
      </c>
      <c r="C918">
        <v>60</v>
      </c>
      <c r="D918">
        <v>7.5</v>
      </c>
      <c r="E918">
        <v>98</v>
      </c>
      <c r="F918">
        <v>80</v>
      </c>
      <c r="G918" t="s">
        <v>8</v>
      </c>
      <c r="H918" s="1" t="str">
        <f t="shared" si="70"/>
        <v>10-20</v>
      </c>
      <c r="I918" s="1" t="str">
        <f t="shared" si="71"/>
        <v>Normal</v>
      </c>
      <c r="J918" s="1" t="str">
        <f t="shared" si="72"/>
        <v>Normal</v>
      </c>
      <c r="K918" s="1" t="str">
        <f t="shared" si="73"/>
        <v>Normal</v>
      </c>
      <c r="L918" s="1" t="str">
        <f t="shared" si="74"/>
        <v>Normal</v>
      </c>
    </row>
    <row r="919" spans="1:12" x14ac:dyDescent="0.25">
      <c r="A919">
        <v>60</v>
      </c>
      <c r="B919">
        <v>90</v>
      </c>
      <c r="C919">
        <v>65</v>
      </c>
      <c r="D919">
        <v>7.5</v>
      </c>
      <c r="E919">
        <v>98</v>
      </c>
      <c r="F919">
        <v>77</v>
      </c>
      <c r="G919" t="s">
        <v>8</v>
      </c>
      <c r="H919" s="1" t="str">
        <f t="shared" si="70"/>
        <v>50+</v>
      </c>
      <c r="I919" s="1" t="str">
        <f t="shared" si="71"/>
        <v>Normal</v>
      </c>
      <c r="J919" s="1" t="str">
        <f t="shared" si="72"/>
        <v>Normal</v>
      </c>
      <c r="K919" s="1" t="str">
        <f t="shared" si="73"/>
        <v>Normal</v>
      </c>
      <c r="L919" s="1" t="str">
        <f t="shared" si="74"/>
        <v>Normal</v>
      </c>
    </row>
    <row r="920" spans="1:12" x14ac:dyDescent="0.25">
      <c r="A920">
        <v>50</v>
      </c>
      <c r="B920">
        <v>120</v>
      </c>
      <c r="C920">
        <v>80</v>
      </c>
      <c r="D920">
        <v>7.5</v>
      </c>
      <c r="E920">
        <v>98</v>
      </c>
      <c r="F920">
        <v>70</v>
      </c>
      <c r="G920" t="s">
        <v>8</v>
      </c>
      <c r="H920" s="1" t="str">
        <f t="shared" si="70"/>
        <v>40-50</v>
      </c>
      <c r="I920" s="1" t="str">
        <f t="shared" si="71"/>
        <v>Pre-High</v>
      </c>
      <c r="J920" s="1" t="str">
        <f t="shared" si="72"/>
        <v>Normal</v>
      </c>
      <c r="K920" s="1" t="str">
        <f t="shared" si="73"/>
        <v>Normal</v>
      </c>
      <c r="L920" s="1" t="str">
        <f t="shared" si="74"/>
        <v>Normal</v>
      </c>
    </row>
    <row r="921" spans="1:12" x14ac:dyDescent="0.25">
      <c r="A921">
        <v>19</v>
      </c>
      <c r="B921">
        <v>90</v>
      </c>
      <c r="C921">
        <v>70</v>
      </c>
      <c r="D921">
        <v>7.5</v>
      </c>
      <c r="E921">
        <v>98</v>
      </c>
      <c r="F921">
        <v>80</v>
      </c>
      <c r="G921" t="s">
        <v>8</v>
      </c>
      <c r="H921" s="1" t="str">
        <f t="shared" si="70"/>
        <v>10-20</v>
      </c>
      <c r="I921" s="1" t="str">
        <f t="shared" si="71"/>
        <v>Normal</v>
      </c>
      <c r="J921" s="1" t="str">
        <f t="shared" si="72"/>
        <v>Normal</v>
      </c>
      <c r="K921" s="1" t="str">
        <f t="shared" si="73"/>
        <v>Normal</v>
      </c>
      <c r="L921" s="1" t="str">
        <f t="shared" si="74"/>
        <v>Normal</v>
      </c>
    </row>
    <row r="922" spans="1:12" x14ac:dyDescent="0.25">
      <c r="A922">
        <v>31</v>
      </c>
      <c r="B922">
        <v>120</v>
      </c>
      <c r="C922">
        <v>60</v>
      </c>
      <c r="D922">
        <v>6.1</v>
      </c>
      <c r="E922">
        <v>98</v>
      </c>
      <c r="F922">
        <v>76</v>
      </c>
      <c r="G922" t="s">
        <v>8</v>
      </c>
      <c r="H922" s="1" t="str">
        <f t="shared" si="70"/>
        <v>30-40</v>
      </c>
      <c r="I922" s="1" t="str">
        <f t="shared" si="71"/>
        <v>Pre-High</v>
      </c>
      <c r="J922" s="1" t="str">
        <f t="shared" si="72"/>
        <v>Normal</v>
      </c>
      <c r="K922" s="1" t="str">
        <f t="shared" si="73"/>
        <v>Normal</v>
      </c>
      <c r="L922" s="1" t="str">
        <f t="shared" si="74"/>
        <v>Normal</v>
      </c>
    </row>
    <row r="923" spans="1:12" x14ac:dyDescent="0.25">
      <c r="A923">
        <v>23</v>
      </c>
      <c r="B923">
        <v>120</v>
      </c>
      <c r="C923">
        <v>90</v>
      </c>
      <c r="D923">
        <v>7.5</v>
      </c>
      <c r="E923">
        <v>98</v>
      </c>
      <c r="F923">
        <v>70</v>
      </c>
      <c r="G923" t="s">
        <v>8</v>
      </c>
      <c r="H923" s="1" t="str">
        <f t="shared" si="70"/>
        <v>20-30</v>
      </c>
      <c r="I923" s="1" t="str">
        <f t="shared" si="71"/>
        <v>High</v>
      </c>
      <c r="J923" s="1" t="str">
        <f t="shared" si="72"/>
        <v>Normal</v>
      </c>
      <c r="K923" s="1" t="str">
        <f t="shared" si="73"/>
        <v>Normal</v>
      </c>
      <c r="L923" s="1" t="str">
        <f t="shared" si="74"/>
        <v>Normal</v>
      </c>
    </row>
    <row r="924" spans="1:12" x14ac:dyDescent="0.25">
      <c r="A924">
        <v>17</v>
      </c>
      <c r="B924">
        <v>85</v>
      </c>
      <c r="C924">
        <v>60</v>
      </c>
      <c r="D924">
        <v>7.5</v>
      </c>
      <c r="E924">
        <v>102</v>
      </c>
      <c r="F924">
        <v>86</v>
      </c>
      <c r="G924" t="s">
        <v>8</v>
      </c>
      <c r="H924" s="1" t="str">
        <f t="shared" si="70"/>
        <v>10-20</v>
      </c>
      <c r="I924" s="1" t="str">
        <f t="shared" si="71"/>
        <v>Normal</v>
      </c>
      <c r="J924" s="1" t="str">
        <f t="shared" si="72"/>
        <v>Normal</v>
      </c>
      <c r="K924" s="1" t="str">
        <f t="shared" si="73"/>
        <v>High</v>
      </c>
      <c r="L924" s="1" t="str">
        <f t="shared" si="74"/>
        <v>High</v>
      </c>
    </row>
    <row r="925" spans="1:12" x14ac:dyDescent="0.25">
      <c r="A925">
        <v>32</v>
      </c>
      <c r="B925">
        <v>120</v>
      </c>
      <c r="C925">
        <v>90</v>
      </c>
      <c r="D925">
        <v>7.5</v>
      </c>
      <c r="E925">
        <v>98</v>
      </c>
      <c r="F925">
        <v>70</v>
      </c>
      <c r="G925" t="s">
        <v>8</v>
      </c>
      <c r="H925" s="1" t="str">
        <f t="shared" si="70"/>
        <v>30-40</v>
      </c>
      <c r="I925" s="1" t="str">
        <f t="shared" si="71"/>
        <v>High</v>
      </c>
      <c r="J925" s="1" t="str">
        <f t="shared" si="72"/>
        <v>Normal</v>
      </c>
      <c r="K925" s="1" t="str">
        <f t="shared" si="73"/>
        <v>Normal</v>
      </c>
      <c r="L925" s="1" t="str">
        <f t="shared" si="74"/>
        <v>Normal</v>
      </c>
    </row>
    <row r="926" spans="1:12" x14ac:dyDescent="0.25">
      <c r="A926">
        <v>42</v>
      </c>
      <c r="B926">
        <v>120</v>
      </c>
      <c r="C926">
        <v>80</v>
      </c>
      <c r="D926">
        <v>7.5</v>
      </c>
      <c r="E926">
        <v>98</v>
      </c>
      <c r="F926">
        <v>70</v>
      </c>
      <c r="G926" t="s">
        <v>8</v>
      </c>
      <c r="H926" s="1" t="str">
        <f t="shared" si="70"/>
        <v>40-50</v>
      </c>
      <c r="I926" s="1" t="str">
        <f t="shared" si="71"/>
        <v>Pre-High</v>
      </c>
      <c r="J926" s="1" t="str">
        <f t="shared" si="72"/>
        <v>Normal</v>
      </c>
      <c r="K926" s="1" t="str">
        <f t="shared" si="73"/>
        <v>Normal</v>
      </c>
      <c r="L926" s="1" t="str">
        <f t="shared" si="74"/>
        <v>Normal</v>
      </c>
    </row>
    <row r="927" spans="1:12" x14ac:dyDescent="0.25">
      <c r="A927">
        <v>42</v>
      </c>
      <c r="B927">
        <v>90</v>
      </c>
      <c r="C927">
        <v>60</v>
      </c>
      <c r="D927">
        <v>7.5</v>
      </c>
      <c r="E927">
        <v>98</v>
      </c>
      <c r="F927">
        <v>76</v>
      </c>
      <c r="G927" t="s">
        <v>8</v>
      </c>
      <c r="H927" s="1" t="str">
        <f t="shared" si="70"/>
        <v>40-50</v>
      </c>
      <c r="I927" s="1" t="str">
        <f t="shared" si="71"/>
        <v>Normal</v>
      </c>
      <c r="J927" s="1" t="str">
        <f t="shared" si="72"/>
        <v>Normal</v>
      </c>
      <c r="K927" s="1" t="str">
        <f t="shared" si="73"/>
        <v>Normal</v>
      </c>
      <c r="L927" s="1" t="str">
        <f t="shared" si="74"/>
        <v>Normal</v>
      </c>
    </row>
    <row r="928" spans="1:12" x14ac:dyDescent="0.25">
      <c r="A928">
        <v>19</v>
      </c>
      <c r="B928">
        <v>120</v>
      </c>
      <c r="C928">
        <v>80</v>
      </c>
      <c r="D928">
        <v>7</v>
      </c>
      <c r="E928">
        <v>98</v>
      </c>
      <c r="F928">
        <v>70</v>
      </c>
      <c r="G928" t="s">
        <v>8</v>
      </c>
      <c r="H928" s="1" t="str">
        <f t="shared" si="70"/>
        <v>10-20</v>
      </c>
      <c r="I928" s="1" t="str">
        <f t="shared" si="71"/>
        <v>Pre-High</v>
      </c>
      <c r="J928" s="1" t="str">
        <f t="shared" si="72"/>
        <v>Normal</v>
      </c>
      <c r="K928" s="1" t="str">
        <f t="shared" si="73"/>
        <v>Normal</v>
      </c>
      <c r="L928" s="1" t="str">
        <f t="shared" si="74"/>
        <v>Normal</v>
      </c>
    </row>
    <row r="929" spans="1:12" x14ac:dyDescent="0.25">
      <c r="A929">
        <v>15</v>
      </c>
      <c r="B929">
        <v>78</v>
      </c>
      <c r="C929">
        <v>49</v>
      </c>
      <c r="D929">
        <v>7.5</v>
      </c>
      <c r="E929">
        <v>98</v>
      </c>
      <c r="F929">
        <v>77</v>
      </c>
      <c r="G929" t="s">
        <v>8</v>
      </c>
      <c r="H929" s="1" t="str">
        <f t="shared" si="70"/>
        <v>10-20</v>
      </c>
      <c r="I929" s="1" t="str">
        <f t="shared" si="71"/>
        <v>Low BP</v>
      </c>
      <c r="J929" s="1" t="str">
        <f t="shared" si="72"/>
        <v>Normal</v>
      </c>
      <c r="K929" s="1" t="str">
        <f t="shared" si="73"/>
        <v>Normal</v>
      </c>
      <c r="L929" s="1" t="str">
        <f t="shared" si="74"/>
        <v>Normal</v>
      </c>
    </row>
    <row r="930" spans="1:12" x14ac:dyDescent="0.25">
      <c r="A930">
        <v>16</v>
      </c>
      <c r="B930">
        <v>70</v>
      </c>
      <c r="C930">
        <v>50</v>
      </c>
      <c r="D930">
        <v>7.5</v>
      </c>
      <c r="E930">
        <v>100</v>
      </c>
      <c r="F930">
        <v>70</v>
      </c>
      <c r="G930" t="s">
        <v>8</v>
      </c>
      <c r="H930" s="1" t="str">
        <f t="shared" si="70"/>
        <v>10-20</v>
      </c>
      <c r="I930" s="1" t="str">
        <f t="shared" si="71"/>
        <v>Low BP</v>
      </c>
      <c r="J930" s="1" t="str">
        <f t="shared" si="72"/>
        <v>Normal</v>
      </c>
      <c r="K930" s="1" t="str">
        <f t="shared" si="73"/>
        <v>Normal</v>
      </c>
      <c r="L930" s="1" t="str">
        <f t="shared" si="74"/>
        <v>High</v>
      </c>
    </row>
    <row r="931" spans="1:12" x14ac:dyDescent="0.25">
      <c r="A931">
        <v>16</v>
      </c>
      <c r="B931">
        <v>100</v>
      </c>
      <c r="C931">
        <v>70</v>
      </c>
      <c r="D931">
        <v>7.5</v>
      </c>
      <c r="E931">
        <v>98</v>
      </c>
      <c r="F931">
        <v>80</v>
      </c>
      <c r="G931" t="s">
        <v>8</v>
      </c>
      <c r="H931" s="1" t="str">
        <f t="shared" si="70"/>
        <v>10-20</v>
      </c>
      <c r="I931" s="1" t="str">
        <f t="shared" si="71"/>
        <v>Normal</v>
      </c>
      <c r="J931" s="1" t="str">
        <f t="shared" si="72"/>
        <v>Normal</v>
      </c>
      <c r="K931" s="1" t="str">
        <f t="shared" si="73"/>
        <v>Normal</v>
      </c>
      <c r="L931" s="1" t="str">
        <f t="shared" si="74"/>
        <v>Normal</v>
      </c>
    </row>
    <row r="932" spans="1:12" x14ac:dyDescent="0.25">
      <c r="A932">
        <v>19</v>
      </c>
      <c r="B932">
        <v>120</v>
      </c>
      <c r="C932">
        <v>75</v>
      </c>
      <c r="D932">
        <v>7.5</v>
      </c>
      <c r="E932">
        <v>98</v>
      </c>
      <c r="F932">
        <v>66</v>
      </c>
      <c r="G932" t="s">
        <v>8</v>
      </c>
      <c r="H932" s="1" t="str">
        <f t="shared" si="70"/>
        <v>10-20</v>
      </c>
      <c r="I932" s="1" t="str">
        <f t="shared" si="71"/>
        <v>Pre-High</v>
      </c>
      <c r="J932" s="1" t="str">
        <f t="shared" si="72"/>
        <v>Normal</v>
      </c>
      <c r="K932" s="1" t="str">
        <f t="shared" si="73"/>
        <v>Low</v>
      </c>
      <c r="L932" s="1" t="str">
        <f t="shared" si="74"/>
        <v>Normal</v>
      </c>
    </row>
    <row r="933" spans="1:12" x14ac:dyDescent="0.25">
      <c r="A933">
        <v>22</v>
      </c>
      <c r="B933">
        <v>100</v>
      </c>
      <c r="C933">
        <v>65</v>
      </c>
      <c r="D933">
        <v>7.5</v>
      </c>
      <c r="E933">
        <v>98</v>
      </c>
      <c r="F933">
        <v>70</v>
      </c>
      <c r="G933" t="s">
        <v>8</v>
      </c>
      <c r="H933" s="1" t="str">
        <f t="shared" si="70"/>
        <v>20-30</v>
      </c>
      <c r="I933" s="1" t="str">
        <f t="shared" si="71"/>
        <v>Normal</v>
      </c>
      <c r="J933" s="1" t="str">
        <f t="shared" si="72"/>
        <v>Normal</v>
      </c>
      <c r="K933" s="1" t="str">
        <f t="shared" si="73"/>
        <v>Normal</v>
      </c>
      <c r="L933" s="1" t="str">
        <f t="shared" si="74"/>
        <v>Normal</v>
      </c>
    </row>
    <row r="934" spans="1:12" x14ac:dyDescent="0.25">
      <c r="A934">
        <v>49</v>
      </c>
      <c r="B934">
        <v>120</v>
      </c>
      <c r="C934">
        <v>90</v>
      </c>
      <c r="D934">
        <v>7.5</v>
      </c>
      <c r="E934">
        <v>98</v>
      </c>
      <c r="F934">
        <v>77</v>
      </c>
      <c r="G934" t="s">
        <v>8</v>
      </c>
      <c r="H934" s="1" t="str">
        <f t="shared" si="70"/>
        <v>40-50</v>
      </c>
      <c r="I934" s="1" t="str">
        <f t="shared" si="71"/>
        <v>High</v>
      </c>
      <c r="J934" s="1" t="str">
        <f t="shared" si="72"/>
        <v>Normal</v>
      </c>
      <c r="K934" s="1" t="str">
        <f t="shared" si="73"/>
        <v>Normal</v>
      </c>
      <c r="L934" s="1" t="str">
        <f t="shared" si="74"/>
        <v>Normal</v>
      </c>
    </row>
    <row r="935" spans="1:12" x14ac:dyDescent="0.25">
      <c r="A935">
        <v>28</v>
      </c>
      <c r="B935">
        <v>90</v>
      </c>
      <c r="C935">
        <v>60</v>
      </c>
      <c r="D935">
        <v>7.5</v>
      </c>
      <c r="E935">
        <v>98</v>
      </c>
      <c r="F935">
        <v>82</v>
      </c>
      <c r="G935" t="s">
        <v>8</v>
      </c>
      <c r="H935" s="1" t="str">
        <f t="shared" si="70"/>
        <v>20-30</v>
      </c>
      <c r="I935" s="1" t="str">
        <f t="shared" si="71"/>
        <v>Normal</v>
      </c>
      <c r="J935" s="1" t="str">
        <f t="shared" si="72"/>
        <v>Normal</v>
      </c>
      <c r="K935" s="1" t="str">
        <f t="shared" si="73"/>
        <v>Normal</v>
      </c>
      <c r="L935" s="1" t="str">
        <f t="shared" si="74"/>
        <v>Normal</v>
      </c>
    </row>
    <row r="936" spans="1:12" x14ac:dyDescent="0.25">
      <c r="A936">
        <v>12</v>
      </c>
      <c r="B936">
        <v>90</v>
      </c>
      <c r="C936">
        <v>60</v>
      </c>
      <c r="D936">
        <v>7.5</v>
      </c>
      <c r="E936">
        <v>102</v>
      </c>
      <c r="F936">
        <v>66</v>
      </c>
      <c r="G936" t="s">
        <v>8</v>
      </c>
      <c r="H936" s="1" t="str">
        <f t="shared" si="70"/>
        <v>10-20</v>
      </c>
      <c r="I936" s="1" t="str">
        <f t="shared" si="71"/>
        <v>Normal</v>
      </c>
      <c r="J936" s="1" t="str">
        <f t="shared" si="72"/>
        <v>Normal</v>
      </c>
      <c r="K936" s="1" t="str">
        <f t="shared" si="73"/>
        <v>Low</v>
      </c>
      <c r="L936" s="1" t="str">
        <f t="shared" si="74"/>
        <v>High</v>
      </c>
    </row>
    <row r="937" spans="1:12" x14ac:dyDescent="0.25">
      <c r="A937">
        <v>20</v>
      </c>
      <c r="B937">
        <v>100</v>
      </c>
      <c r="C937">
        <v>90</v>
      </c>
      <c r="D937">
        <v>7.5</v>
      </c>
      <c r="E937">
        <v>98</v>
      </c>
      <c r="F937">
        <v>88</v>
      </c>
      <c r="G937" t="s">
        <v>8</v>
      </c>
      <c r="H937" s="1" t="str">
        <f t="shared" si="70"/>
        <v>10-20</v>
      </c>
      <c r="I937" s="1" t="str">
        <f t="shared" si="71"/>
        <v>High</v>
      </c>
      <c r="J937" s="1" t="str">
        <f t="shared" si="72"/>
        <v>Normal</v>
      </c>
      <c r="K937" s="1" t="str">
        <f t="shared" si="73"/>
        <v>High</v>
      </c>
      <c r="L937" s="1" t="str">
        <f t="shared" si="74"/>
        <v>Normal</v>
      </c>
    </row>
    <row r="938" spans="1:12" x14ac:dyDescent="0.25">
      <c r="A938">
        <v>23</v>
      </c>
      <c r="B938">
        <v>100</v>
      </c>
      <c r="C938">
        <v>85</v>
      </c>
      <c r="D938">
        <v>7.5</v>
      </c>
      <c r="E938">
        <v>98</v>
      </c>
      <c r="F938">
        <v>66</v>
      </c>
      <c r="G938" t="s">
        <v>8</v>
      </c>
      <c r="H938" s="1" t="str">
        <f t="shared" si="70"/>
        <v>20-30</v>
      </c>
      <c r="I938" s="1" t="str">
        <f t="shared" si="71"/>
        <v>Pre-High</v>
      </c>
      <c r="J938" s="1" t="str">
        <f t="shared" si="72"/>
        <v>Normal</v>
      </c>
      <c r="K938" s="1" t="str">
        <f t="shared" si="73"/>
        <v>Low</v>
      </c>
      <c r="L938" s="1" t="str">
        <f t="shared" si="74"/>
        <v>Normal</v>
      </c>
    </row>
    <row r="939" spans="1:12" x14ac:dyDescent="0.25">
      <c r="A939">
        <v>22</v>
      </c>
      <c r="B939">
        <v>120</v>
      </c>
      <c r="C939">
        <v>90</v>
      </c>
      <c r="D939">
        <v>7.5</v>
      </c>
      <c r="E939">
        <v>98</v>
      </c>
      <c r="F939">
        <v>82</v>
      </c>
      <c r="G939" t="s">
        <v>8</v>
      </c>
      <c r="H939" s="1" t="str">
        <f t="shared" si="70"/>
        <v>20-30</v>
      </c>
      <c r="I939" s="1" t="str">
        <f t="shared" si="71"/>
        <v>High</v>
      </c>
      <c r="J939" s="1" t="str">
        <f t="shared" si="72"/>
        <v>Normal</v>
      </c>
      <c r="K939" s="1" t="str">
        <f t="shared" si="73"/>
        <v>Normal</v>
      </c>
      <c r="L939" s="1" t="str">
        <f t="shared" si="74"/>
        <v>Normal</v>
      </c>
    </row>
    <row r="940" spans="1:12" x14ac:dyDescent="0.25">
      <c r="A940">
        <v>21</v>
      </c>
      <c r="B940">
        <v>120</v>
      </c>
      <c r="C940">
        <v>80</v>
      </c>
      <c r="D940">
        <v>7.5</v>
      </c>
      <c r="E940">
        <v>98</v>
      </c>
      <c r="F940">
        <v>77</v>
      </c>
      <c r="G940" t="s">
        <v>8</v>
      </c>
      <c r="H940" s="1" t="str">
        <f t="shared" si="70"/>
        <v>20-30</v>
      </c>
      <c r="I940" s="1" t="str">
        <f t="shared" si="71"/>
        <v>Pre-High</v>
      </c>
      <c r="J940" s="1" t="str">
        <f t="shared" si="72"/>
        <v>Normal</v>
      </c>
      <c r="K940" s="1" t="str">
        <f t="shared" si="73"/>
        <v>Normal</v>
      </c>
      <c r="L940" s="1" t="str">
        <f t="shared" si="74"/>
        <v>Normal</v>
      </c>
    </row>
    <row r="941" spans="1:12" x14ac:dyDescent="0.25">
      <c r="A941">
        <v>21</v>
      </c>
      <c r="B941">
        <v>75</v>
      </c>
      <c r="C941">
        <v>50</v>
      </c>
      <c r="D941">
        <v>7.5</v>
      </c>
      <c r="E941">
        <v>98</v>
      </c>
      <c r="F941">
        <v>60</v>
      </c>
      <c r="G941" t="s">
        <v>8</v>
      </c>
      <c r="H941" s="1" t="str">
        <f t="shared" si="70"/>
        <v>20-30</v>
      </c>
      <c r="I941" s="1" t="str">
        <f t="shared" si="71"/>
        <v>Low BP</v>
      </c>
      <c r="J941" s="1" t="str">
        <f t="shared" si="72"/>
        <v>Normal</v>
      </c>
      <c r="K941" s="1" t="str">
        <f t="shared" si="73"/>
        <v>Low</v>
      </c>
      <c r="L941" s="1" t="str">
        <f t="shared" si="74"/>
        <v>Normal</v>
      </c>
    </row>
    <row r="942" spans="1:12" x14ac:dyDescent="0.25">
      <c r="A942">
        <v>12</v>
      </c>
      <c r="B942">
        <v>90</v>
      </c>
      <c r="C942">
        <v>60</v>
      </c>
      <c r="D942">
        <v>7.5</v>
      </c>
      <c r="E942">
        <v>102</v>
      </c>
      <c r="F942">
        <v>60</v>
      </c>
      <c r="G942" t="s">
        <v>8</v>
      </c>
      <c r="H942" s="1" t="str">
        <f t="shared" si="70"/>
        <v>10-20</v>
      </c>
      <c r="I942" s="1" t="str">
        <f t="shared" si="71"/>
        <v>Normal</v>
      </c>
      <c r="J942" s="1" t="str">
        <f t="shared" si="72"/>
        <v>Normal</v>
      </c>
      <c r="K942" s="1" t="str">
        <f t="shared" si="73"/>
        <v>Low</v>
      </c>
      <c r="L942" s="1" t="str">
        <f t="shared" si="74"/>
        <v>High</v>
      </c>
    </row>
    <row r="943" spans="1:12" x14ac:dyDescent="0.25">
      <c r="A943">
        <v>60</v>
      </c>
      <c r="B943">
        <v>120</v>
      </c>
      <c r="C943">
        <v>80</v>
      </c>
      <c r="D943">
        <v>7.5</v>
      </c>
      <c r="E943">
        <v>98</v>
      </c>
      <c r="F943">
        <v>75</v>
      </c>
      <c r="G943" t="s">
        <v>8</v>
      </c>
      <c r="H943" s="1" t="str">
        <f t="shared" si="70"/>
        <v>50+</v>
      </c>
      <c r="I943" s="1" t="str">
        <f t="shared" si="71"/>
        <v>Pre-High</v>
      </c>
      <c r="J943" s="1" t="str">
        <f t="shared" si="72"/>
        <v>Normal</v>
      </c>
      <c r="K943" s="1" t="str">
        <f t="shared" si="73"/>
        <v>Normal</v>
      </c>
      <c r="L943" s="1" t="str">
        <f t="shared" si="74"/>
        <v>Normal</v>
      </c>
    </row>
    <row r="944" spans="1:12" x14ac:dyDescent="0.25">
      <c r="A944">
        <v>55</v>
      </c>
      <c r="B944">
        <v>100</v>
      </c>
      <c r="C944">
        <v>65</v>
      </c>
      <c r="D944">
        <v>7.5</v>
      </c>
      <c r="E944">
        <v>98</v>
      </c>
      <c r="F944">
        <v>66</v>
      </c>
      <c r="G944" t="s">
        <v>8</v>
      </c>
      <c r="H944" s="1" t="str">
        <f t="shared" si="70"/>
        <v>50+</v>
      </c>
      <c r="I944" s="1" t="str">
        <f t="shared" si="71"/>
        <v>Normal</v>
      </c>
      <c r="J944" s="1" t="str">
        <f t="shared" si="72"/>
        <v>Normal</v>
      </c>
      <c r="K944" s="1" t="str">
        <f t="shared" si="73"/>
        <v>Low</v>
      </c>
      <c r="L944" s="1" t="str">
        <f t="shared" si="74"/>
        <v>Normal</v>
      </c>
    </row>
    <row r="945" spans="1:12" x14ac:dyDescent="0.25">
      <c r="A945">
        <v>45</v>
      </c>
      <c r="B945">
        <v>120</v>
      </c>
      <c r="C945">
        <v>95</v>
      </c>
      <c r="D945">
        <v>7.5</v>
      </c>
      <c r="E945">
        <v>98</v>
      </c>
      <c r="F945">
        <v>66</v>
      </c>
      <c r="G945" t="s">
        <v>8</v>
      </c>
      <c r="H945" s="1" t="str">
        <f t="shared" si="70"/>
        <v>40-50</v>
      </c>
      <c r="I945" s="1" t="str">
        <f t="shared" si="71"/>
        <v>High</v>
      </c>
      <c r="J945" s="1" t="str">
        <f t="shared" si="72"/>
        <v>Normal</v>
      </c>
      <c r="K945" s="1" t="str">
        <f t="shared" si="73"/>
        <v>Low</v>
      </c>
      <c r="L945" s="1" t="str">
        <f t="shared" si="74"/>
        <v>Normal</v>
      </c>
    </row>
    <row r="946" spans="1:12" x14ac:dyDescent="0.25">
      <c r="A946">
        <v>35</v>
      </c>
      <c r="B946">
        <v>100</v>
      </c>
      <c r="C946">
        <v>70</v>
      </c>
      <c r="D946">
        <v>7.5</v>
      </c>
      <c r="E946">
        <v>98</v>
      </c>
      <c r="F946">
        <v>66</v>
      </c>
      <c r="G946" t="s">
        <v>8</v>
      </c>
      <c r="H946" s="1" t="str">
        <f t="shared" si="70"/>
        <v>30-40</v>
      </c>
      <c r="I946" s="1" t="str">
        <f t="shared" si="71"/>
        <v>Normal</v>
      </c>
      <c r="J946" s="1" t="str">
        <f t="shared" si="72"/>
        <v>Normal</v>
      </c>
      <c r="K946" s="1" t="str">
        <f t="shared" si="73"/>
        <v>Low</v>
      </c>
      <c r="L946" s="1" t="str">
        <f t="shared" si="74"/>
        <v>Normal</v>
      </c>
    </row>
    <row r="947" spans="1:12" x14ac:dyDescent="0.25">
      <c r="A947">
        <v>22</v>
      </c>
      <c r="B947">
        <v>120</v>
      </c>
      <c r="C947">
        <v>85</v>
      </c>
      <c r="D947">
        <v>7.5</v>
      </c>
      <c r="E947">
        <v>98</v>
      </c>
      <c r="F947">
        <v>88</v>
      </c>
      <c r="G947" t="s">
        <v>8</v>
      </c>
      <c r="H947" s="1" t="str">
        <f t="shared" si="70"/>
        <v>20-30</v>
      </c>
      <c r="I947" s="1" t="str">
        <f t="shared" si="71"/>
        <v>Pre-High</v>
      </c>
      <c r="J947" s="1" t="str">
        <f t="shared" si="72"/>
        <v>Normal</v>
      </c>
      <c r="K947" s="1" t="str">
        <f t="shared" si="73"/>
        <v>High</v>
      </c>
      <c r="L947" s="1" t="str">
        <f t="shared" si="74"/>
        <v>Normal</v>
      </c>
    </row>
    <row r="948" spans="1:12" x14ac:dyDescent="0.25">
      <c r="A948">
        <v>13</v>
      </c>
      <c r="B948">
        <v>90</v>
      </c>
      <c r="C948">
        <v>65</v>
      </c>
      <c r="D948">
        <v>7.5</v>
      </c>
      <c r="E948">
        <v>101</v>
      </c>
      <c r="F948">
        <v>80</v>
      </c>
      <c r="G948" t="s">
        <v>8</v>
      </c>
      <c r="H948" s="1" t="str">
        <f t="shared" si="70"/>
        <v>10-20</v>
      </c>
      <c r="I948" s="1" t="str">
        <f t="shared" si="71"/>
        <v>Normal</v>
      </c>
      <c r="J948" s="1" t="str">
        <f t="shared" si="72"/>
        <v>Normal</v>
      </c>
      <c r="K948" s="1" t="str">
        <f t="shared" si="73"/>
        <v>Normal</v>
      </c>
      <c r="L948" s="1" t="str">
        <f t="shared" si="74"/>
        <v>High</v>
      </c>
    </row>
    <row r="949" spans="1:12" x14ac:dyDescent="0.25">
      <c r="A949">
        <v>23</v>
      </c>
      <c r="B949">
        <v>120</v>
      </c>
      <c r="C949">
        <v>90</v>
      </c>
      <c r="D949">
        <v>7.5</v>
      </c>
      <c r="E949">
        <v>98</v>
      </c>
      <c r="F949">
        <v>60</v>
      </c>
      <c r="G949" t="s">
        <v>8</v>
      </c>
      <c r="H949" s="1" t="str">
        <f t="shared" si="70"/>
        <v>20-30</v>
      </c>
      <c r="I949" s="1" t="str">
        <f t="shared" si="71"/>
        <v>High</v>
      </c>
      <c r="J949" s="1" t="str">
        <f t="shared" si="72"/>
        <v>Normal</v>
      </c>
      <c r="K949" s="1" t="str">
        <f t="shared" si="73"/>
        <v>Low</v>
      </c>
      <c r="L949" s="1" t="str">
        <f t="shared" si="74"/>
        <v>Normal</v>
      </c>
    </row>
    <row r="950" spans="1:12" x14ac:dyDescent="0.25">
      <c r="A950">
        <v>17</v>
      </c>
      <c r="B950">
        <v>90</v>
      </c>
      <c r="C950">
        <v>65</v>
      </c>
      <c r="D950">
        <v>7.5</v>
      </c>
      <c r="E950">
        <v>103</v>
      </c>
      <c r="F950">
        <v>67</v>
      </c>
      <c r="G950" t="s">
        <v>8</v>
      </c>
      <c r="H950" s="1" t="str">
        <f t="shared" si="70"/>
        <v>10-20</v>
      </c>
      <c r="I950" s="1" t="str">
        <f t="shared" si="71"/>
        <v>Normal</v>
      </c>
      <c r="J950" s="1" t="str">
        <f t="shared" si="72"/>
        <v>Normal</v>
      </c>
      <c r="K950" s="1" t="str">
        <f t="shared" si="73"/>
        <v>Low</v>
      </c>
      <c r="L950" s="1" t="str">
        <f t="shared" si="74"/>
        <v>High</v>
      </c>
    </row>
    <row r="951" spans="1:12" x14ac:dyDescent="0.25">
      <c r="A951">
        <v>59</v>
      </c>
      <c r="B951">
        <v>120</v>
      </c>
      <c r="C951">
        <v>80</v>
      </c>
      <c r="D951">
        <v>7.5</v>
      </c>
      <c r="E951">
        <v>98</v>
      </c>
      <c r="F951">
        <v>70</v>
      </c>
      <c r="G951" t="s">
        <v>8</v>
      </c>
      <c r="H951" s="1" t="str">
        <f t="shared" si="70"/>
        <v>50+</v>
      </c>
      <c r="I951" s="1" t="str">
        <f t="shared" si="71"/>
        <v>Pre-High</v>
      </c>
      <c r="J951" s="1" t="str">
        <f t="shared" si="72"/>
        <v>Normal</v>
      </c>
      <c r="K951" s="1" t="str">
        <f t="shared" si="73"/>
        <v>Normal</v>
      </c>
      <c r="L951" s="1" t="str">
        <f t="shared" si="74"/>
        <v>Normal</v>
      </c>
    </row>
    <row r="952" spans="1:12" x14ac:dyDescent="0.25">
      <c r="A952">
        <v>23</v>
      </c>
      <c r="B952">
        <v>120</v>
      </c>
      <c r="C952">
        <v>80</v>
      </c>
      <c r="D952">
        <v>7.5</v>
      </c>
      <c r="E952">
        <v>98</v>
      </c>
      <c r="F952">
        <v>70</v>
      </c>
      <c r="G952" t="s">
        <v>8</v>
      </c>
      <c r="H952" s="1" t="str">
        <f t="shared" si="70"/>
        <v>20-30</v>
      </c>
      <c r="I952" s="1" t="str">
        <f t="shared" si="71"/>
        <v>Pre-High</v>
      </c>
      <c r="J952" s="1" t="str">
        <f t="shared" si="72"/>
        <v>Normal</v>
      </c>
      <c r="K952" s="1" t="str">
        <f t="shared" si="73"/>
        <v>Normal</v>
      </c>
      <c r="L952" s="1" t="str">
        <f t="shared" si="74"/>
        <v>Normal</v>
      </c>
    </row>
    <row r="953" spans="1:12" x14ac:dyDescent="0.25">
      <c r="A953">
        <v>17</v>
      </c>
      <c r="B953">
        <v>85</v>
      </c>
      <c r="C953">
        <v>60</v>
      </c>
      <c r="D953">
        <v>7.5</v>
      </c>
      <c r="E953">
        <v>102</v>
      </c>
      <c r="F953">
        <v>86</v>
      </c>
      <c r="G953" t="s">
        <v>8</v>
      </c>
      <c r="H953" s="1" t="str">
        <f t="shared" si="70"/>
        <v>10-20</v>
      </c>
      <c r="I953" s="1" t="str">
        <f t="shared" si="71"/>
        <v>Normal</v>
      </c>
      <c r="J953" s="1" t="str">
        <f t="shared" si="72"/>
        <v>Normal</v>
      </c>
      <c r="K953" s="1" t="str">
        <f t="shared" si="73"/>
        <v>High</v>
      </c>
      <c r="L953" s="1" t="str">
        <f t="shared" si="74"/>
        <v>High</v>
      </c>
    </row>
    <row r="954" spans="1:12" x14ac:dyDescent="0.25">
      <c r="A954">
        <v>32</v>
      </c>
      <c r="B954">
        <v>120</v>
      </c>
      <c r="C954">
        <v>90</v>
      </c>
      <c r="D954">
        <v>7.5</v>
      </c>
      <c r="E954">
        <v>98</v>
      </c>
      <c r="F954">
        <v>70</v>
      </c>
      <c r="G954" t="s">
        <v>8</v>
      </c>
      <c r="H954" s="1" t="str">
        <f t="shared" si="70"/>
        <v>30-40</v>
      </c>
      <c r="I954" s="1" t="str">
        <f t="shared" si="71"/>
        <v>High</v>
      </c>
      <c r="J954" s="1" t="str">
        <f t="shared" si="72"/>
        <v>Normal</v>
      </c>
      <c r="K954" s="1" t="str">
        <f t="shared" si="73"/>
        <v>Normal</v>
      </c>
      <c r="L954" s="1" t="str">
        <f t="shared" si="74"/>
        <v>Normal</v>
      </c>
    </row>
    <row r="955" spans="1:12" x14ac:dyDescent="0.25">
      <c r="A955">
        <v>42</v>
      </c>
      <c r="B955">
        <v>120</v>
      </c>
      <c r="C955">
        <v>80</v>
      </c>
      <c r="D955">
        <v>7.5</v>
      </c>
      <c r="E955">
        <v>98</v>
      </c>
      <c r="F955">
        <v>70</v>
      </c>
      <c r="G955" t="s">
        <v>8</v>
      </c>
      <c r="H955" s="1" t="str">
        <f t="shared" si="70"/>
        <v>40-50</v>
      </c>
      <c r="I955" s="1" t="str">
        <f t="shared" si="71"/>
        <v>Pre-High</v>
      </c>
      <c r="J955" s="1" t="str">
        <f t="shared" si="72"/>
        <v>Normal</v>
      </c>
      <c r="K955" s="1" t="str">
        <f t="shared" si="73"/>
        <v>Normal</v>
      </c>
      <c r="L955" s="1" t="str">
        <f t="shared" si="74"/>
        <v>Normal</v>
      </c>
    </row>
    <row r="956" spans="1:12" x14ac:dyDescent="0.25">
      <c r="A956">
        <v>25</v>
      </c>
      <c r="B956">
        <v>140</v>
      </c>
      <c r="C956">
        <v>100</v>
      </c>
      <c r="D956">
        <v>7.01</v>
      </c>
      <c r="E956">
        <v>98</v>
      </c>
      <c r="F956">
        <v>80</v>
      </c>
      <c r="G956" t="s">
        <v>7</v>
      </c>
      <c r="H956" s="1" t="str">
        <f t="shared" si="70"/>
        <v>20-30</v>
      </c>
      <c r="I956" s="1" t="str">
        <f t="shared" si="71"/>
        <v>Critical</v>
      </c>
      <c r="J956" s="1" t="str">
        <f t="shared" si="72"/>
        <v>Normal</v>
      </c>
      <c r="K956" s="1" t="str">
        <f t="shared" si="73"/>
        <v>Normal</v>
      </c>
      <c r="L956" s="1" t="str">
        <f t="shared" si="74"/>
        <v>Normal</v>
      </c>
    </row>
    <row r="957" spans="1:12" x14ac:dyDescent="0.25">
      <c r="A957">
        <v>40</v>
      </c>
      <c r="B957">
        <v>140</v>
      </c>
      <c r="C957">
        <v>100</v>
      </c>
      <c r="D957">
        <v>18</v>
      </c>
      <c r="E957">
        <v>98</v>
      </c>
      <c r="F957">
        <v>90</v>
      </c>
      <c r="G957" t="s">
        <v>7</v>
      </c>
      <c r="H957" s="1" t="str">
        <f t="shared" si="70"/>
        <v>30-40</v>
      </c>
      <c r="I957" s="1" t="str">
        <f t="shared" si="71"/>
        <v>Critical</v>
      </c>
      <c r="J957" s="1" t="str">
        <f t="shared" si="72"/>
        <v>High</v>
      </c>
      <c r="K957" s="1" t="str">
        <f t="shared" si="73"/>
        <v>High</v>
      </c>
      <c r="L957" s="1" t="str">
        <f t="shared" si="74"/>
        <v>Normal</v>
      </c>
    </row>
    <row r="958" spans="1:12" x14ac:dyDescent="0.25">
      <c r="A958">
        <v>32</v>
      </c>
      <c r="B958">
        <v>140</v>
      </c>
      <c r="C958">
        <v>100</v>
      </c>
      <c r="D958">
        <v>6.9</v>
      </c>
      <c r="E958">
        <v>98</v>
      </c>
      <c r="F958">
        <v>78</v>
      </c>
      <c r="G958" t="s">
        <v>7</v>
      </c>
      <c r="H958" s="1" t="str">
        <f t="shared" si="70"/>
        <v>30-40</v>
      </c>
      <c r="I958" s="1" t="str">
        <f t="shared" si="71"/>
        <v>Critical</v>
      </c>
      <c r="J958" s="1" t="str">
        <f t="shared" si="72"/>
        <v>Normal</v>
      </c>
      <c r="K958" s="1" t="str">
        <f t="shared" si="73"/>
        <v>Normal</v>
      </c>
      <c r="L958" s="1" t="str">
        <f t="shared" si="74"/>
        <v>Normal</v>
      </c>
    </row>
    <row r="959" spans="1:12" x14ac:dyDescent="0.25">
      <c r="A959">
        <v>14</v>
      </c>
      <c r="B959">
        <v>90</v>
      </c>
      <c r="C959">
        <v>65</v>
      </c>
      <c r="D959">
        <v>7</v>
      </c>
      <c r="E959">
        <v>101</v>
      </c>
      <c r="F959">
        <v>70</v>
      </c>
      <c r="G959" t="s">
        <v>7</v>
      </c>
      <c r="H959" s="1" t="str">
        <f t="shared" si="70"/>
        <v>10-20</v>
      </c>
      <c r="I959" s="1" t="str">
        <f t="shared" si="71"/>
        <v>Normal</v>
      </c>
      <c r="J959" s="1" t="str">
        <f t="shared" si="72"/>
        <v>Normal</v>
      </c>
      <c r="K959" s="1" t="str">
        <f t="shared" si="73"/>
        <v>Normal</v>
      </c>
      <c r="L959" s="1" t="str">
        <f t="shared" si="74"/>
        <v>High</v>
      </c>
    </row>
    <row r="960" spans="1:12" x14ac:dyDescent="0.25">
      <c r="A960">
        <v>37</v>
      </c>
      <c r="B960">
        <v>120</v>
      </c>
      <c r="C960">
        <v>90</v>
      </c>
      <c r="D960">
        <v>11</v>
      </c>
      <c r="E960">
        <v>98</v>
      </c>
      <c r="F960">
        <v>88</v>
      </c>
      <c r="G960" t="s">
        <v>7</v>
      </c>
      <c r="H960" s="1" t="str">
        <f t="shared" si="70"/>
        <v>30-40</v>
      </c>
      <c r="I960" s="1" t="str">
        <f t="shared" si="71"/>
        <v>High</v>
      </c>
      <c r="J960" s="1" t="str">
        <f t="shared" si="72"/>
        <v>Slightly High</v>
      </c>
      <c r="K960" s="1" t="str">
        <f t="shared" si="73"/>
        <v>High</v>
      </c>
      <c r="L960" s="1" t="str">
        <f t="shared" si="74"/>
        <v>Normal</v>
      </c>
    </row>
    <row r="961" spans="1:12" x14ac:dyDescent="0.25">
      <c r="A961">
        <v>17</v>
      </c>
      <c r="B961">
        <v>110</v>
      </c>
      <c r="C961">
        <v>75</v>
      </c>
      <c r="D961">
        <v>12</v>
      </c>
      <c r="E961">
        <v>101</v>
      </c>
      <c r="F961">
        <v>76</v>
      </c>
      <c r="G961" t="s">
        <v>7</v>
      </c>
      <c r="H961" s="1" t="str">
        <f t="shared" si="70"/>
        <v>10-20</v>
      </c>
      <c r="I961" s="1" t="str">
        <f t="shared" si="71"/>
        <v>Normal</v>
      </c>
      <c r="J961" s="1" t="str">
        <f t="shared" si="72"/>
        <v>High</v>
      </c>
      <c r="K961" s="1" t="str">
        <f t="shared" si="73"/>
        <v>Normal</v>
      </c>
      <c r="L961" s="1" t="str">
        <f t="shared" si="74"/>
        <v>High</v>
      </c>
    </row>
    <row r="962" spans="1:12" x14ac:dyDescent="0.25">
      <c r="A962">
        <v>40</v>
      </c>
      <c r="B962">
        <v>120</v>
      </c>
      <c r="C962">
        <v>90</v>
      </c>
      <c r="D962">
        <v>12</v>
      </c>
      <c r="E962">
        <v>98</v>
      </c>
      <c r="F962">
        <v>80</v>
      </c>
      <c r="G962" t="s">
        <v>7</v>
      </c>
      <c r="H962" s="1" t="str">
        <f t="shared" si="70"/>
        <v>30-40</v>
      </c>
      <c r="I962" s="1" t="str">
        <f t="shared" si="71"/>
        <v>High</v>
      </c>
      <c r="J962" s="1" t="str">
        <f t="shared" si="72"/>
        <v>High</v>
      </c>
      <c r="K962" s="1" t="str">
        <f t="shared" si="73"/>
        <v>Normal</v>
      </c>
      <c r="L962" s="1" t="str">
        <f t="shared" si="74"/>
        <v>Normal</v>
      </c>
    </row>
    <row r="963" spans="1:12" x14ac:dyDescent="0.25">
      <c r="A963">
        <v>40</v>
      </c>
      <c r="B963">
        <v>160</v>
      </c>
      <c r="C963">
        <v>100</v>
      </c>
      <c r="D963">
        <v>19</v>
      </c>
      <c r="E963">
        <v>98</v>
      </c>
      <c r="F963">
        <v>77</v>
      </c>
      <c r="G963" t="s">
        <v>7</v>
      </c>
      <c r="H963" s="1" t="str">
        <f t="shared" ref="H963:H1015" si="75">IF(A963&lt;=20,"10-20",
 IF(A963&lt;=30,"20-30",
 IF(A963&lt;=40,"30-40",
 IF(A963&lt;=50,"40-50","50+"))))</f>
        <v>30-40</v>
      </c>
      <c r="I963" s="1" t="str">
        <f t="shared" ref="I963:I1015" si="76">IF(AND(B963&lt;90,C963&lt;60),"Low BP",
 IF(AND(B963&lt;120,C963&lt;80),"Normal",
 IF(AND(B963&lt;140,C963&lt;90),"Pre-High",
 IF(AND(B963&lt;160,C963&lt;100),"High","Critical"))))</f>
        <v>Critical</v>
      </c>
      <c r="J963" s="1" t="str">
        <f t="shared" ref="J963:J1015" si="77">IF(D963&lt;8,"Normal",
 IF(D963&lt;12,"Slightly High","High"))</f>
        <v>High</v>
      </c>
      <c r="K963" s="1" t="str">
        <f t="shared" ref="K963:K1015" si="78">IF(F963&lt;70,"Low",
 IF(F963&lt;=85,"Normal","High"))</f>
        <v>Normal</v>
      </c>
      <c r="L963" s="1" t="str">
        <f t="shared" ref="L963:L1015" si="79">IF(E963&lt;97.5,"Low",
 IF(E963&lt;=99,"Normal","High"))</f>
        <v>Normal</v>
      </c>
    </row>
    <row r="964" spans="1:12" x14ac:dyDescent="0.25">
      <c r="A964">
        <v>32</v>
      </c>
      <c r="B964">
        <v>140</v>
      </c>
      <c r="C964">
        <v>90</v>
      </c>
      <c r="D964">
        <v>18</v>
      </c>
      <c r="E964">
        <v>98</v>
      </c>
      <c r="F964">
        <v>88</v>
      </c>
      <c r="G964" t="s">
        <v>7</v>
      </c>
      <c r="H964" s="1" t="str">
        <f t="shared" si="75"/>
        <v>30-40</v>
      </c>
      <c r="I964" s="1" t="str">
        <f t="shared" si="76"/>
        <v>High</v>
      </c>
      <c r="J964" s="1" t="str">
        <f t="shared" si="77"/>
        <v>High</v>
      </c>
      <c r="K964" s="1" t="str">
        <f t="shared" si="78"/>
        <v>High</v>
      </c>
      <c r="L964" s="1" t="str">
        <f t="shared" si="79"/>
        <v>Normal</v>
      </c>
    </row>
    <row r="965" spans="1:12" x14ac:dyDescent="0.25">
      <c r="A965">
        <v>12</v>
      </c>
      <c r="B965">
        <v>90</v>
      </c>
      <c r="C965">
        <v>60</v>
      </c>
      <c r="D965">
        <v>7.9</v>
      </c>
      <c r="E965">
        <v>102</v>
      </c>
      <c r="F965">
        <v>66</v>
      </c>
      <c r="G965" t="s">
        <v>7</v>
      </c>
      <c r="H965" s="1" t="str">
        <f t="shared" si="75"/>
        <v>10-20</v>
      </c>
      <c r="I965" s="1" t="str">
        <f t="shared" si="76"/>
        <v>Normal</v>
      </c>
      <c r="J965" s="1" t="str">
        <f t="shared" si="77"/>
        <v>Normal</v>
      </c>
      <c r="K965" s="1" t="str">
        <f t="shared" si="78"/>
        <v>Low</v>
      </c>
      <c r="L965" s="1" t="str">
        <f t="shared" si="79"/>
        <v>High</v>
      </c>
    </row>
    <row r="966" spans="1:12" x14ac:dyDescent="0.25">
      <c r="A966">
        <v>35</v>
      </c>
      <c r="B966">
        <v>140</v>
      </c>
      <c r="C966">
        <v>100</v>
      </c>
      <c r="D966">
        <v>8</v>
      </c>
      <c r="E966">
        <v>98</v>
      </c>
      <c r="F966">
        <v>66</v>
      </c>
      <c r="G966" t="s">
        <v>7</v>
      </c>
      <c r="H966" s="1" t="str">
        <f t="shared" si="75"/>
        <v>30-40</v>
      </c>
      <c r="I966" s="1" t="str">
        <f t="shared" si="76"/>
        <v>Critical</v>
      </c>
      <c r="J966" s="1" t="str">
        <f t="shared" si="77"/>
        <v>Slightly High</v>
      </c>
      <c r="K966" s="1" t="str">
        <f t="shared" si="78"/>
        <v>Low</v>
      </c>
      <c r="L966" s="1" t="str">
        <f t="shared" si="79"/>
        <v>Normal</v>
      </c>
    </row>
    <row r="967" spans="1:12" x14ac:dyDescent="0.25">
      <c r="A967">
        <v>54</v>
      </c>
      <c r="B967">
        <v>140</v>
      </c>
      <c r="C967">
        <v>100</v>
      </c>
      <c r="D967">
        <v>15</v>
      </c>
      <c r="E967">
        <v>98</v>
      </c>
      <c r="F967">
        <v>66</v>
      </c>
      <c r="G967" t="s">
        <v>7</v>
      </c>
      <c r="H967" s="1" t="str">
        <f t="shared" si="75"/>
        <v>50+</v>
      </c>
      <c r="I967" s="1" t="str">
        <f t="shared" si="76"/>
        <v>Critical</v>
      </c>
      <c r="J967" s="1" t="str">
        <f t="shared" si="77"/>
        <v>High</v>
      </c>
      <c r="K967" s="1" t="str">
        <f t="shared" si="78"/>
        <v>Low</v>
      </c>
      <c r="L967" s="1" t="str">
        <f t="shared" si="79"/>
        <v>Normal</v>
      </c>
    </row>
    <row r="968" spans="1:12" x14ac:dyDescent="0.25">
      <c r="A968">
        <v>40</v>
      </c>
      <c r="B968">
        <v>120</v>
      </c>
      <c r="C968">
        <v>95</v>
      </c>
      <c r="D968">
        <v>11</v>
      </c>
      <c r="E968">
        <v>98</v>
      </c>
      <c r="F968">
        <v>80</v>
      </c>
      <c r="G968" t="s">
        <v>7</v>
      </c>
      <c r="H968" s="1" t="str">
        <f t="shared" si="75"/>
        <v>30-40</v>
      </c>
      <c r="I968" s="1" t="str">
        <f t="shared" si="76"/>
        <v>High</v>
      </c>
      <c r="J968" s="1" t="str">
        <f t="shared" si="77"/>
        <v>Slightly High</v>
      </c>
      <c r="K968" s="1" t="str">
        <f t="shared" si="78"/>
        <v>Normal</v>
      </c>
      <c r="L968" s="1" t="str">
        <f t="shared" si="79"/>
        <v>Normal</v>
      </c>
    </row>
    <row r="969" spans="1:12" x14ac:dyDescent="0.25">
      <c r="A969">
        <v>60</v>
      </c>
      <c r="B969">
        <v>120</v>
      </c>
      <c r="C969">
        <v>85</v>
      </c>
      <c r="D969">
        <v>15</v>
      </c>
      <c r="E969">
        <v>98</v>
      </c>
      <c r="F969">
        <v>60</v>
      </c>
      <c r="G969" t="s">
        <v>7</v>
      </c>
      <c r="H969" s="1" t="str">
        <f t="shared" si="75"/>
        <v>50+</v>
      </c>
      <c r="I969" s="1" t="str">
        <f t="shared" si="76"/>
        <v>Pre-High</v>
      </c>
      <c r="J969" s="1" t="str">
        <f t="shared" si="77"/>
        <v>High</v>
      </c>
      <c r="K969" s="1" t="str">
        <f t="shared" si="78"/>
        <v>Low</v>
      </c>
      <c r="L969" s="1" t="str">
        <f t="shared" si="79"/>
        <v>Normal</v>
      </c>
    </row>
    <row r="970" spans="1:12" x14ac:dyDescent="0.25">
      <c r="A970">
        <v>55</v>
      </c>
      <c r="B970">
        <v>140</v>
      </c>
      <c r="C970">
        <v>95</v>
      </c>
      <c r="D970">
        <v>19</v>
      </c>
      <c r="E970">
        <v>98</v>
      </c>
      <c r="F970">
        <v>77</v>
      </c>
      <c r="G970" t="s">
        <v>7</v>
      </c>
      <c r="H970" s="1" t="str">
        <f t="shared" si="75"/>
        <v>50+</v>
      </c>
      <c r="I970" s="1" t="str">
        <f t="shared" si="76"/>
        <v>High</v>
      </c>
      <c r="J970" s="1" t="str">
        <f t="shared" si="77"/>
        <v>High</v>
      </c>
      <c r="K970" s="1" t="str">
        <f t="shared" si="78"/>
        <v>Normal</v>
      </c>
      <c r="L970" s="1" t="str">
        <f t="shared" si="79"/>
        <v>Normal</v>
      </c>
    </row>
    <row r="971" spans="1:12" x14ac:dyDescent="0.25">
      <c r="A971">
        <v>50</v>
      </c>
      <c r="B971">
        <v>130</v>
      </c>
      <c r="C971">
        <v>100</v>
      </c>
      <c r="D971">
        <v>16</v>
      </c>
      <c r="E971">
        <v>98</v>
      </c>
      <c r="F971">
        <v>75</v>
      </c>
      <c r="G971" t="s">
        <v>7</v>
      </c>
      <c r="H971" s="1" t="str">
        <f t="shared" si="75"/>
        <v>40-50</v>
      </c>
      <c r="I971" s="1" t="str">
        <f t="shared" si="76"/>
        <v>Critical</v>
      </c>
      <c r="J971" s="1" t="str">
        <f t="shared" si="77"/>
        <v>High</v>
      </c>
      <c r="K971" s="1" t="str">
        <f t="shared" si="78"/>
        <v>Normal</v>
      </c>
      <c r="L971" s="1" t="str">
        <f t="shared" si="79"/>
        <v>Normal</v>
      </c>
    </row>
    <row r="972" spans="1:12" x14ac:dyDescent="0.25">
      <c r="A972">
        <v>17</v>
      </c>
      <c r="B972">
        <v>90</v>
      </c>
      <c r="C972">
        <v>65</v>
      </c>
      <c r="D972">
        <v>6.1</v>
      </c>
      <c r="E972">
        <v>103</v>
      </c>
      <c r="F972">
        <v>67</v>
      </c>
      <c r="G972" t="s">
        <v>7</v>
      </c>
      <c r="H972" s="1" t="str">
        <f t="shared" si="75"/>
        <v>10-20</v>
      </c>
      <c r="I972" s="1" t="str">
        <f t="shared" si="76"/>
        <v>Normal</v>
      </c>
      <c r="J972" s="1" t="str">
        <f t="shared" si="77"/>
        <v>Normal</v>
      </c>
      <c r="K972" s="1" t="str">
        <f t="shared" si="78"/>
        <v>Low</v>
      </c>
      <c r="L972" s="1" t="str">
        <f t="shared" si="79"/>
        <v>High</v>
      </c>
    </row>
    <row r="973" spans="1:12" x14ac:dyDescent="0.25">
      <c r="A973">
        <v>28</v>
      </c>
      <c r="B973">
        <v>83</v>
      </c>
      <c r="C973">
        <v>60</v>
      </c>
      <c r="D973">
        <v>8</v>
      </c>
      <c r="E973">
        <v>101</v>
      </c>
      <c r="F973">
        <v>86</v>
      </c>
      <c r="G973" t="s">
        <v>7</v>
      </c>
      <c r="H973" s="1" t="str">
        <f t="shared" si="75"/>
        <v>20-30</v>
      </c>
      <c r="I973" s="1" t="str">
        <f t="shared" si="76"/>
        <v>Normal</v>
      </c>
      <c r="J973" s="1" t="str">
        <f t="shared" si="77"/>
        <v>Slightly High</v>
      </c>
      <c r="K973" s="1" t="str">
        <f t="shared" si="78"/>
        <v>High</v>
      </c>
      <c r="L973" s="1" t="str">
        <f t="shared" si="79"/>
        <v>High</v>
      </c>
    </row>
    <row r="974" spans="1:12" x14ac:dyDescent="0.25">
      <c r="A974">
        <v>50</v>
      </c>
      <c r="B974">
        <v>120</v>
      </c>
      <c r="C974">
        <v>80</v>
      </c>
      <c r="D974">
        <v>15</v>
      </c>
      <c r="E974">
        <v>98</v>
      </c>
      <c r="F974">
        <v>70</v>
      </c>
      <c r="G974" t="s">
        <v>7</v>
      </c>
      <c r="H974" s="1" t="str">
        <f t="shared" si="75"/>
        <v>40-50</v>
      </c>
      <c r="I974" s="1" t="str">
        <f t="shared" si="76"/>
        <v>Pre-High</v>
      </c>
      <c r="J974" s="1" t="str">
        <f t="shared" si="77"/>
        <v>High</v>
      </c>
      <c r="K974" s="1" t="str">
        <f t="shared" si="78"/>
        <v>Normal</v>
      </c>
      <c r="L974" s="1" t="str">
        <f t="shared" si="79"/>
        <v>Normal</v>
      </c>
    </row>
    <row r="975" spans="1:12" x14ac:dyDescent="0.25">
      <c r="A975">
        <v>17</v>
      </c>
      <c r="B975">
        <v>85</v>
      </c>
      <c r="C975">
        <v>60</v>
      </c>
      <c r="D975">
        <v>9</v>
      </c>
      <c r="E975">
        <v>102</v>
      </c>
      <c r="F975">
        <v>86</v>
      </c>
      <c r="G975" t="s">
        <v>7</v>
      </c>
      <c r="H975" s="1" t="str">
        <f t="shared" si="75"/>
        <v>10-20</v>
      </c>
      <c r="I975" s="1" t="str">
        <f t="shared" si="76"/>
        <v>Normal</v>
      </c>
      <c r="J975" s="1" t="str">
        <f t="shared" si="77"/>
        <v>Slightly High</v>
      </c>
      <c r="K975" s="1" t="str">
        <f t="shared" si="78"/>
        <v>High</v>
      </c>
      <c r="L975" s="1" t="str">
        <f t="shared" si="79"/>
        <v>High</v>
      </c>
    </row>
    <row r="976" spans="1:12" x14ac:dyDescent="0.25">
      <c r="A976">
        <v>33</v>
      </c>
      <c r="B976">
        <v>120</v>
      </c>
      <c r="C976">
        <v>75</v>
      </c>
      <c r="D976">
        <v>10</v>
      </c>
      <c r="E976">
        <v>98</v>
      </c>
      <c r="F976">
        <v>70</v>
      </c>
      <c r="G976" t="s">
        <v>7</v>
      </c>
      <c r="H976" s="1" t="str">
        <f t="shared" si="75"/>
        <v>30-40</v>
      </c>
      <c r="I976" s="1" t="str">
        <f t="shared" si="76"/>
        <v>Pre-High</v>
      </c>
      <c r="J976" s="1" t="str">
        <f t="shared" si="77"/>
        <v>Slightly High</v>
      </c>
      <c r="K976" s="1" t="str">
        <f t="shared" si="78"/>
        <v>Normal</v>
      </c>
      <c r="L976" s="1" t="str">
        <f t="shared" si="79"/>
        <v>Normal</v>
      </c>
    </row>
    <row r="977" spans="1:12" x14ac:dyDescent="0.25">
      <c r="A977">
        <v>48</v>
      </c>
      <c r="B977">
        <v>120</v>
      </c>
      <c r="C977">
        <v>80</v>
      </c>
      <c r="D977">
        <v>11</v>
      </c>
      <c r="E977">
        <v>98</v>
      </c>
      <c r="F977">
        <v>88</v>
      </c>
      <c r="G977" t="s">
        <v>7</v>
      </c>
      <c r="H977" s="1" t="str">
        <f t="shared" si="75"/>
        <v>40-50</v>
      </c>
      <c r="I977" s="1" t="str">
        <f t="shared" si="76"/>
        <v>Pre-High</v>
      </c>
      <c r="J977" s="1" t="str">
        <f t="shared" si="77"/>
        <v>Slightly High</v>
      </c>
      <c r="K977" s="1" t="str">
        <f t="shared" si="78"/>
        <v>High</v>
      </c>
      <c r="L977" s="1" t="str">
        <f t="shared" si="79"/>
        <v>Normal</v>
      </c>
    </row>
    <row r="978" spans="1:12" x14ac:dyDescent="0.25">
      <c r="A978">
        <v>50</v>
      </c>
      <c r="B978">
        <v>140</v>
      </c>
      <c r="C978">
        <v>95</v>
      </c>
      <c r="D978">
        <v>17</v>
      </c>
      <c r="E978">
        <v>98</v>
      </c>
      <c r="F978">
        <v>60</v>
      </c>
      <c r="G978" t="s">
        <v>7</v>
      </c>
      <c r="H978" s="1" t="str">
        <f t="shared" si="75"/>
        <v>40-50</v>
      </c>
      <c r="I978" s="1" t="str">
        <f t="shared" si="76"/>
        <v>High</v>
      </c>
      <c r="J978" s="1" t="str">
        <f t="shared" si="77"/>
        <v>High</v>
      </c>
      <c r="K978" s="1" t="str">
        <f t="shared" si="78"/>
        <v>Low</v>
      </c>
      <c r="L978" s="1" t="str">
        <f t="shared" si="79"/>
        <v>Normal</v>
      </c>
    </row>
    <row r="979" spans="1:12" x14ac:dyDescent="0.25">
      <c r="A979">
        <v>30</v>
      </c>
      <c r="B979">
        <v>140</v>
      </c>
      <c r="C979">
        <v>100</v>
      </c>
      <c r="D979">
        <v>15</v>
      </c>
      <c r="E979">
        <v>98</v>
      </c>
      <c r="F979">
        <v>70</v>
      </c>
      <c r="G979" t="s">
        <v>7</v>
      </c>
      <c r="H979" s="1" t="str">
        <f t="shared" si="75"/>
        <v>20-30</v>
      </c>
      <c r="I979" s="1" t="str">
        <f t="shared" si="76"/>
        <v>Critical</v>
      </c>
      <c r="J979" s="1" t="str">
        <f t="shared" si="77"/>
        <v>High</v>
      </c>
      <c r="K979" s="1" t="str">
        <f t="shared" si="78"/>
        <v>Normal</v>
      </c>
      <c r="L979" s="1" t="str">
        <f t="shared" si="79"/>
        <v>Normal</v>
      </c>
    </row>
    <row r="980" spans="1:12" x14ac:dyDescent="0.25">
      <c r="A980">
        <v>29</v>
      </c>
      <c r="B980">
        <v>120</v>
      </c>
      <c r="C980">
        <v>75</v>
      </c>
      <c r="D980">
        <v>7.2</v>
      </c>
      <c r="E980">
        <v>100</v>
      </c>
      <c r="F980">
        <v>70</v>
      </c>
      <c r="G980" t="s">
        <v>7</v>
      </c>
      <c r="H980" s="1" t="str">
        <f t="shared" si="75"/>
        <v>20-30</v>
      </c>
      <c r="I980" s="1" t="str">
        <f t="shared" si="76"/>
        <v>Pre-High</v>
      </c>
      <c r="J980" s="1" t="str">
        <f t="shared" si="77"/>
        <v>Normal</v>
      </c>
      <c r="K980" s="1" t="str">
        <f t="shared" si="78"/>
        <v>Normal</v>
      </c>
      <c r="L980" s="1" t="str">
        <f t="shared" si="79"/>
        <v>High</v>
      </c>
    </row>
    <row r="981" spans="1:12" x14ac:dyDescent="0.25">
      <c r="A981">
        <v>48</v>
      </c>
      <c r="B981">
        <v>120</v>
      </c>
      <c r="C981">
        <v>80</v>
      </c>
      <c r="D981">
        <v>11</v>
      </c>
      <c r="E981">
        <v>98</v>
      </c>
      <c r="F981">
        <v>88</v>
      </c>
      <c r="G981" t="s">
        <v>7</v>
      </c>
      <c r="H981" s="1" t="str">
        <f t="shared" si="75"/>
        <v>40-50</v>
      </c>
      <c r="I981" s="1" t="str">
        <f t="shared" si="76"/>
        <v>Pre-High</v>
      </c>
      <c r="J981" s="1" t="str">
        <f t="shared" si="77"/>
        <v>Slightly High</v>
      </c>
      <c r="K981" s="1" t="str">
        <f t="shared" si="78"/>
        <v>High</v>
      </c>
      <c r="L981" s="1" t="str">
        <f t="shared" si="79"/>
        <v>Normal</v>
      </c>
    </row>
    <row r="982" spans="1:12" x14ac:dyDescent="0.25">
      <c r="A982">
        <v>50</v>
      </c>
      <c r="B982">
        <v>140</v>
      </c>
      <c r="C982">
        <v>90</v>
      </c>
      <c r="D982">
        <v>15</v>
      </c>
      <c r="E982">
        <v>98</v>
      </c>
      <c r="F982">
        <v>77</v>
      </c>
      <c r="G982" t="s">
        <v>7</v>
      </c>
      <c r="H982" s="1" t="str">
        <f t="shared" si="75"/>
        <v>40-50</v>
      </c>
      <c r="I982" s="1" t="str">
        <f t="shared" si="76"/>
        <v>High</v>
      </c>
      <c r="J982" s="1" t="str">
        <f t="shared" si="77"/>
        <v>High</v>
      </c>
      <c r="K982" s="1" t="str">
        <f t="shared" si="78"/>
        <v>Normal</v>
      </c>
      <c r="L982" s="1" t="str">
        <f t="shared" si="79"/>
        <v>Normal</v>
      </c>
    </row>
    <row r="983" spans="1:12" x14ac:dyDescent="0.25">
      <c r="A983">
        <v>25</v>
      </c>
      <c r="B983">
        <v>140</v>
      </c>
      <c r="C983">
        <v>100</v>
      </c>
      <c r="D983">
        <v>7.2</v>
      </c>
      <c r="E983">
        <v>98</v>
      </c>
      <c r="F983">
        <v>80</v>
      </c>
      <c r="G983" t="s">
        <v>7</v>
      </c>
      <c r="H983" s="1" t="str">
        <f t="shared" si="75"/>
        <v>20-30</v>
      </c>
      <c r="I983" s="1" t="str">
        <f t="shared" si="76"/>
        <v>Critical</v>
      </c>
      <c r="J983" s="1" t="str">
        <f t="shared" si="77"/>
        <v>Normal</v>
      </c>
      <c r="K983" s="1" t="str">
        <f t="shared" si="78"/>
        <v>Normal</v>
      </c>
      <c r="L983" s="1" t="str">
        <f t="shared" si="79"/>
        <v>Normal</v>
      </c>
    </row>
    <row r="984" spans="1:12" x14ac:dyDescent="0.25">
      <c r="A984">
        <v>55</v>
      </c>
      <c r="B984">
        <v>140</v>
      </c>
      <c r="C984">
        <v>80</v>
      </c>
      <c r="D984">
        <v>7.2</v>
      </c>
      <c r="E984">
        <v>101</v>
      </c>
      <c r="F984">
        <v>76</v>
      </c>
      <c r="G984" t="s">
        <v>7</v>
      </c>
      <c r="H984" s="1" t="str">
        <f t="shared" si="75"/>
        <v>50+</v>
      </c>
      <c r="I984" s="1" t="str">
        <f t="shared" si="76"/>
        <v>High</v>
      </c>
      <c r="J984" s="1" t="str">
        <f t="shared" si="77"/>
        <v>Normal</v>
      </c>
      <c r="K984" s="1" t="str">
        <f t="shared" si="78"/>
        <v>Normal</v>
      </c>
      <c r="L984" s="1" t="str">
        <f t="shared" si="79"/>
        <v>High</v>
      </c>
    </row>
    <row r="985" spans="1:12" x14ac:dyDescent="0.25">
      <c r="A985">
        <v>40</v>
      </c>
      <c r="B985">
        <v>140</v>
      </c>
      <c r="C985">
        <v>100</v>
      </c>
      <c r="D985">
        <v>18</v>
      </c>
      <c r="E985">
        <v>98</v>
      </c>
      <c r="F985">
        <v>77</v>
      </c>
      <c r="G985" t="s">
        <v>7</v>
      </c>
      <c r="H985" s="1" t="str">
        <f t="shared" si="75"/>
        <v>30-40</v>
      </c>
      <c r="I985" s="1" t="str">
        <f t="shared" si="76"/>
        <v>Critical</v>
      </c>
      <c r="J985" s="1" t="str">
        <f t="shared" si="77"/>
        <v>High</v>
      </c>
      <c r="K985" s="1" t="str">
        <f t="shared" si="78"/>
        <v>Normal</v>
      </c>
      <c r="L985" s="1" t="str">
        <f t="shared" si="79"/>
        <v>Normal</v>
      </c>
    </row>
    <row r="986" spans="1:12" x14ac:dyDescent="0.25">
      <c r="A986">
        <v>28</v>
      </c>
      <c r="B986">
        <v>120</v>
      </c>
      <c r="C986">
        <v>80</v>
      </c>
      <c r="D986">
        <v>9</v>
      </c>
      <c r="E986">
        <v>102</v>
      </c>
      <c r="F986">
        <v>76</v>
      </c>
      <c r="G986" t="s">
        <v>7</v>
      </c>
      <c r="H986" s="1" t="str">
        <f t="shared" si="75"/>
        <v>20-30</v>
      </c>
      <c r="I986" s="1" t="str">
        <f t="shared" si="76"/>
        <v>Pre-High</v>
      </c>
      <c r="J986" s="1" t="str">
        <f t="shared" si="77"/>
        <v>Slightly High</v>
      </c>
      <c r="K986" s="1" t="str">
        <f t="shared" si="78"/>
        <v>Normal</v>
      </c>
      <c r="L986" s="1" t="str">
        <f t="shared" si="79"/>
        <v>High</v>
      </c>
    </row>
    <row r="987" spans="1:12" x14ac:dyDescent="0.25">
      <c r="A987">
        <v>32</v>
      </c>
      <c r="B987">
        <v>140</v>
      </c>
      <c r="C987">
        <v>100</v>
      </c>
      <c r="D987">
        <v>8</v>
      </c>
      <c r="E987">
        <v>98</v>
      </c>
      <c r="F987">
        <v>70</v>
      </c>
      <c r="G987" t="s">
        <v>7</v>
      </c>
      <c r="H987" s="1" t="str">
        <f t="shared" si="75"/>
        <v>30-40</v>
      </c>
      <c r="I987" s="1" t="str">
        <f t="shared" si="76"/>
        <v>Critical</v>
      </c>
      <c r="J987" s="1" t="str">
        <f t="shared" si="77"/>
        <v>Slightly High</v>
      </c>
      <c r="K987" s="1" t="str">
        <f t="shared" si="78"/>
        <v>Normal</v>
      </c>
      <c r="L987" s="1" t="str">
        <f t="shared" si="79"/>
        <v>Normal</v>
      </c>
    </row>
    <row r="988" spans="1:12" x14ac:dyDescent="0.25">
      <c r="A988">
        <v>17</v>
      </c>
      <c r="B988">
        <v>90</v>
      </c>
      <c r="C988">
        <v>60</v>
      </c>
      <c r="D988">
        <v>11</v>
      </c>
      <c r="E988">
        <v>101</v>
      </c>
      <c r="F988">
        <v>78</v>
      </c>
      <c r="G988" t="s">
        <v>7</v>
      </c>
      <c r="H988" s="1" t="str">
        <f t="shared" si="75"/>
        <v>10-20</v>
      </c>
      <c r="I988" s="1" t="str">
        <f t="shared" si="76"/>
        <v>Normal</v>
      </c>
      <c r="J988" s="1" t="str">
        <f t="shared" si="77"/>
        <v>Slightly High</v>
      </c>
      <c r="K988" s="1" t="str">
        <f t="shared" si="78"/>
        <v>Normal</v>
      </c>
      <c r="L988" s="1" t="str">
        <f t="shared" si="79"/>
        <v>High</v>
      </c>
    </row>
    <row r="989" spans="1:12" x14ac:dyDescent="0.25">
      <c r="A989">
        <v>17</v>
      </c>
      <c r="B989">
        <v>90</v>
      </c>
      <c r="C989">
        <v>63</v>
      </c>
      <c r="D989">
        <v>8</v>
      </c>
      <c r="E989">
        <v>101</v>
      </c>
      <c r="F989">
        <v>70</v>
      </c>
      <c r="G989" t="s">
        <v>7</v>
      </c>
      <c r="H989" s="1" t="str">
        <f t="shared" si="75"/>
        <v>10-20</v>
      </c>
      <c r="I989" s="1" t="str">
        <f t="shared" si="76"/>
        <v>Normal</v>
      </c>
      <c r="J989" s="1" t="str">
        <f t="shared" si="77"/>
        <v>Slightly High</v>
      </c>
      <c r="K989" s="1" t="str">
        <f t="shared" si="78"/>
        <v>Normal</v>
      </c>
      <c r="L989" s="1" t="str">
        <f t="shared" si="79"/>
        <v>High</v>
      </c>
    </row>
    <row r="990" spans="1:12" x14ac:dyDescent="0.25">
      <c r="A990">
        <v>25</v>
      </c>
      <c r="B990">
        <v>120</v>
      </c>
      <c r="C990">
        <v>90</v>
      </c>
      <c r="D990">
        <v>12</v>
      </c>
      <c r="E990">
        <v>101</v>
      </c>
      <c r="F990">
        <v>80</v>
      </c>
      <c r="G990" t="s">
        <v>7</v>
      </c>
      <c r="H990" s="1" t="str">
        <f t="shared" si="75"/>
        <v>20-30</v>
      </c>
      <c r="I990" s="1" t="str">
        <f t="shared" si="76"/>
        <v>High</v>
      </c>
      <c r="J990" s="1" t="str">
        <f t="shared" si="77"/>
        <v>High</v>
      </c>
      <c r="K990" s="1" t="str">
        <f t="shared" si="78"/>
        <v>Normal</v>
      </c>
      <c r="L990" s="1" t="str">
        <f t="shared" si="79"/>
        <v>High</v>
      </c>
    </row>
    <row r="991" spans="1:12" x14ac:dyDescent="0.25">
      <c r="A991">
        <v>17</v>
      </c>
      <c r="B991">
        <v>120</v>
      </c>
      <c r="C991">
        <v>80</v>
      </c>
      <c r="D991">
        <v>7</v>
      </c>
      <c r="E991">
        <v>102</v>
      </c>
      <c r="F991">
        <v>76</v>
      </c>
      <c r="G991" t="s">
        <v>7</v>
      </c>
      <c r="H991" s="1" t="str">
        <f t="shared" si="75"/>
        <v>10-20</v>
      </c>
      <c r="I991" s="1" t="str">
        <f t="shared" si="76"/>
        <v>Pre-High</v>
      </c>
      <c r="J991" s="1" t="str">
        <f t="shared" si="77"/>
        <v>Normal</v>
      </c>
      <c r="K991" s="1" t="str">
        <f t="shared" si="78"/>
        <v>Normal</v>
      </c>
      <c r="L991" s="1" t="str">
        <f t="shared" si="79"/>
        <v>High</v>
      </c>
    </row>
    <row r="992" spans="1:12" x14ac:dyDescent="0.25">
      <c r="A992">
        <v>19</v>
      </c>
      <c r="B992">
        <v>90</v>
      </c>
      <c r="C992">
        <v>65</v>
      </c>
      <c r="D992">
        <v>11</v>
      </c>
      <c r="E992">
        <v>101</v>
      </c>
      <c r="F992">
        <v>70</v>
      </c>
      <c r="G992" t="s">
        <v>7</v>
      </c>
      <c r="H992" s="1" t="str">
        <f t="shared" si="75"/>
        <v>10-20</v>
      </c>
      <c r="I992" s="1" t="str">
        <f t="shared" si="76"/>
        <v>Normal</v>
      </c>
      <c r="J992" s="1" t="str">
        <f t="shared" si="77"/>
        <v>Slightly High</v>
      </c>
      <c r="K992" s="1" t="str">
        <f t="shared" si="78"/>
        <v>Normal</v>
      </c>
      <c r="L992" s="1" t="str">
        <f t="shared" si="79"/>
        <v>High</v>
      </c>
    </row>
    <row r="993" spans="1:12" x14ac:dyDescent="0.25">
      <c r="A993">
        <v>37</v>
      </c>
      <c r="B993">
        <v>120</v>
      </c>
      <c r="C993">
        <v>90</v>
      </c>
      <c r="D993">
        <v>11</v>
      </c>
      <c r="E993">
        <v>98</v>
      </c>
      <c r="F993">
        <v>88</v>
      </c>
      <c r="G993" t="s">
        <v>7</v>
      </c>
      <c r="H993" s="1" t="str">
        <f t="shared" si="75"/>
        <v>30-40</v>
      </c>
      <c r="I993" s="1" t="str">
        <f t="shared" si="76"/>
        <v>High</v>
      </c>
      <c r="J993" s="1" t="str">
        <f t="shared" si="77"/>
        <v>Slightly High</v>
      </c>
      <c r="K993" s="1" t="str">
        <f t="shared" si="78"/>
        <v>High</v>
      </c>
      <c r="L993" s="1" t="str">
        <f t="shared" si="79"/>
        <v>Normal</v>
      </c>
    </row>
    <row r="994" spans="1:12" x14ac:dyDescent="0.25">
      <c r="A994">
        <v>17</v>
      </c>
      <c r="B994">
        <v>110</v>
      </c>
      <c r="C994">
        <v>75</v>
      </c>
      <c r="D994">
        <v>13</v>
      </c>
      <c r="E994">
        <v>101</v>
      </c>
      <c r="F994">
        <v>76</v>
      </c>
      <c r="G994" t="s">
        <v>7</v>
      </c>
      <c r="H994" s="1" t="str">
        <f t="shared" si="75"/>
        <v>10-20</v>
      </c>
      <c r="I994" s="1" t="str">
        <f t="shared" si="76"/>
        <v>Normal</v>
      </c>
      <c r="J994" s="1" t="str">
        <f t="shared" si="77"/>
        <v>High</v>
      </c>
      <c r="K994" s="1" t="str">
        <f t="shared" si="78"/>
        <v>Normal</v>
      </c>
      <c r="L994" s="1" t="str">
        <f t="shared" si="79"/>
        <v>High</v>
      </c>
    </row>
    <row r="995" spans="1:12" x14ac:dyDescent="0.25">
      <c r="A995">
        <v>25</v>
      </c>
      <c r="B995">
        <v>120</v>
      </c>
      <c r="C995">
        <v>90</v>
      </c>
      <c r="D995">
        <v>15</v>
      </c>
      <c r="E995">
        <v>98</v>
      </c>
      <c r="F995">
        <v>80</v>
      </c>
      <c r="G995" t="s">
        <v>7</v>
      </c>
      <c r="H995" s="1" t="str">
        <f t="shared" si="75"/>
        <v>20-30</v>
      </c>
      <c r="I995" s="1" t="str">
        <f t="shared" si="76"/>
        <v>High</v>
      </c>
      <c r="J995" s="1" t="str">
        <f t="shared" si="77"/>
        <v>High</v>
      </c>
      <c r="K995" s="1" t="str">
        <f t="shared" si="78"/>
        <v>Normal</v>
      </c>
      <c r="L995" s="1" t="str">
        <f t="shared" si="79"/>
        <v>Normal</v>
      </c>
    </row>
    <row r="996" spans="1:12" x14ac:dyDescent="0.25">
      <c r="A996">
        <v>40</v>
      </c>
      <c r="B996">
        <v>160</v>
      </c>
      <c r="C996">
        <v>100</v>
      </c>
      <c r="D996">
        <v>19</v>
      </c>
      <c r="E996">
        <v>98</v>
      </c>
      <c r="F996">
        <v>77</v>
      </c>
      <c r="G996" t="s">
        <v>7</v>
      </c>
      <c r="H996" s="1" t="str">
        <f t="shared" si="75"/>
        <v>30-40</v>
      </c>
      <c r="I996" s="1" t="str">
        <f t="shared" si="76"/>
        <v>Critical</v>
      </c>
      <c r="J996" s="1" t="str">
        <f t="shared" si="77"/>
        <v>High</v>
      </c>
      <c r="K996" s="1" t="str">
        <f t="shared" si="78"/>
        <v>Normal</v>
      </c>
      <c r="L996" s="1" t="str">
        <f t="shared" si="79"/>
        <v>Normal</v>
      </c>
    </row>
    <row r="997" spans="1:12" x14ac:dyDescent="0.25">
      <c r="A997">
        <v>32</v>
      </c>
      <c r="B997">
        <v>140</v>
      </c>
      <c r="C997">
        <v>90</v>
      </c>
      <c r="D997">
        <v>18</v>
      </c>
      <c r="E997">
        <v>98</v>
      </c>
      <c r="F997">
        <v>88</v>
      </c>
      <c r="G997" t="s">
        <v>7</v>
      </c>
      <c r="H997" s="1" t="str">
        <f t="shared" si="75"/>
        <v>30-40</v>
      </c>
      <c r="I997" s="1" t="str">
        <f t="shared" si="76"/>
        <v>High</v>
      </c>
      <c r="J997" s="1" t="str">
        <f t="shared" si="77"/>
        <v>High</v>
      </c>
      <c r="K997" s="1" t="str">
        <f t="shared" si="78"/>
        <v>High</v>
      </c>
      <c r="L997" s="1" t="str">
        <f t="shared" si="79"/>
        <v>Normal</v>
      </c>
    </row>
    <row r="998" spans="1:12" x14ac:dyDescent="0.25">
      <c r="A998">
        <v>12</v>
      </c>
      <c r="B998">
        <v>90</v>
      </c>
      <c r="C998">
        <v>60</v>
      </c>
      <c r="D998">
        <v>8</v>
      </c>
      <c r="E998">
        <v>102</v>
      </c>
      <c r="F998">
        <v>66</v>
      </c>
      <c r="G998" t="s">
        <v>7</v>
      </c>
      <c r="H998" s="1" t="str">
        <f t="shared" si="75"/>
        <v>10-20</v>
      </c>
      <c r="I998" s="1" t="str">
        <f t="shared" si="76"/>
        <v>Normal</v>
      </c>
      <c r="J998" s="1" t="str">
        <f t="shared" si="77"/>
        <v>Slightly High</v>
      </c>
      <c r="K998" s="1" t="str">
        <f t="shared" si="78"/>
        <v>Low</v>
      </c>
      <c r="L998" s="1" t="str">
        <f t="shared" si="79"/>
        <v>High</v>
      </c>
    </row>
    <row r="999" spans="1:12" x14ac:dyDescent="0.25">
      <c r="A999">
        <v>35</v>
      </c>
      <c r="B999">
        <v>140</v>
      </c>
      <c r="C999">
        <v>100</v>
      </c>
      <c r="D999">
        <v>9</v>
      </c>
      <c r="E999">
        <v>98</v>
      </c>
      <c r="F999">
        <v>66</v>
      </c>
      <c r="G999" t="s">
        <v>7</v>
      </c>
      <c r="H999" s="1" t="str">
        <f t="shared" si="75"/>
        <v>30-40</v>
      </c>
      <c r="I999" s="1" t="str">
        <f t="shared" si="76"/>
        <v>Critical</v>
      </c>
      <c r="J999" s="1" t="str">
        <f t="shared" si="77"/>
        <v>Slightly High</v>
      </c>
      <c r="K999" s="1" t="str">
        <f t="shared" si="78"/>
        <v>Low</v>
      </c>
      <c r="L999" s="1" t="str">
        <f t="shared" si="79"/>
        <v>Normal</v>
      </c>
    </row>
    <row r="1000" spans="1:12" x14ac:dyDescent="0.25">
      <c r="A1000">
        <v>54</v>
      </c>
      <c r="B1000">
        <v>140</v>
      </c>
      <c r="C1000">
        <v>100</v>
      </c>
      <c r="D1000">
        <v>15</v>
      </c>
      <c r="E1000">
        <v>98</v>
      </c>
      <c r="F1000">
        <v>66</v>
      </c>
      <c r="G1000" t="s">
        <v>7</v>
      </c>
      <c r="H1000" s="1" t="str">
        <f t="shared" si="75"/>
        <v>50+</v>
      </c>
      <c r="I1000" s="1" t="str">
        <f t="shared" si="76"/>
        <v>Critical</v>
      </c>
      <c r="J1000" s="1" t="str">
        <f t="shared" si="77"/>
        <v>High</v>
      </c>
      <c r="K1000" s="1" t="str">
        <f t="shared" si="78"/>
        <v>Low</v>
      </c>
      <c r="L1000" s="1" t="str">
        <f t="shared" si="79"/>
        <v>Normal</v>
      </c>
    </row>
    <row r="1001" spans="1:12" x14ac:dyDescent="0.25">
      <c r="A1001">
        <v>40</v>
      </c>
      <c r="B1001">
        <v>120</v>
      </c>
      <c r="C1001">
        <v>95</v>
      </c>
      <c r="D1001">
        <v>11</v>
      </c>
      <c r="E1001">
        <v>98</v>
      </c>
      <c r="F1001">
        <v>80</v>
      </c>
      <c r="G1001" t="s">
        <v>7</v>
      </c>
      <c r="H1001" s="1" t="str">
        <f t="shared" si="75"/>
        <v>30-40</v>
      </c>
      <c r="I1001" s="1" t="str">
        <f t="shared" si="76"/>
        <v>High</v>
      </c>
      <c r="J1001" s="1" t="str">
        <f t="shared" si="77"/>
        <v>Slightly High</v>
      </c>
      <c r="K1001" s="1" t="str">
        <f t="shared" si="78"/>
        <v>Normal</v>
      </c>
      <c r="L1001" s="1" t="str">
        <f t="shared" si="79"/>
        <v>Normal</v>
      </c>
    </row>
    <row r="1002" spans="1:12" x14ac:dyDescent="0.25">
      <c r="A1002">
        <v>12</v>
      </c>
      <c r="B1002">
        <v>90</v>
      </c>
      <c r="C1002">
        <v>60</v>
      </c>
      <c r="D1002">
        <v>11</v>
      </c>
      <c r="E1002">
        <v>102</v>
      </c>
      <c r="F1002">
        <v>60</v>
      </c>
      <c r="G1002" t="s">
        <v>7</v>
      </c>
      <c r="H1002" s="1" t="str">
        <f t="shared" si="75"/>
        <v>10-20</v>
      </c>
      <c r="I1002" s="1" t="str">
        <f t="shared" si="76"/>
        <v>Normal</v>
      </c>
      <c r="J1002" s="1" t="str">
        <f t="shared" si="77"/>
        <v>Slightly High</v>
      </c>
      <c r="K1002" s="1" t="str">
        <f t="shared" si="78"/>
        <v>Low</v>
      </c>
      <c r="L1002" s="1" t="str">
        <f t="shared" si="79"/>
        <v>High</v>
      </c>
    </row>
    <row r="1003" spans="1:12" x14ac:dyDescent="0.25">
      <c r="A1003">
        <v>60</v>
      </c>
      <c r="B1003">
        <v>120</v>
      </c>
      <c r="C1003">
        <v>85</v>
      </c>
      <c r="D1003">
        <v>15</v>
      </c>
      <c r="E1003">
        <v>98</v>
      </c>
      <c r="F1003">
        <v>60</v>
      </c>
      <c r="G1003" t="s">
        <v>7</v>
      </c>
      <c r="H1003" s="1" t="str">
        <f t="shared" si="75"/>
        <v>50+</v>
      </c>
      <c r="I1003" s="1" t="str">
        <f t="shared" si="76"/>
        <v>Pre-High</v>
      </c>
      <c r="J1003" s="1" t="str">
        <f t="shared" si="77"/>
        <v>High</v>
      </c>
      <c r="K1003" s="1" t="str">
        <f t="shared" si="78"/>
        <v>Low</v>
      </c>
      <c r="L1003" s="1" t="str">
        <f t="shared" si="79"/>
        <v>Normal</v>
      </c>
    </row>
    <row r="1004" spans="1:12" x14ac:dyDescent="0.25">
      <c r="A1004">
        <v>55</v>
      </c>
      <c r="B1004">
        <v>140</v>
      </c>
      <c r="C1004">
        <v>95</v>
      </c>
      <c r="D1004">
        <v>19</v>
      </c>
      <c r="E1004">
        <v>98</v>
      </c>
      <c r="F1004">
        <v>77</v>
      </c>
      <c r="G1004" t="s">
        <v>7</v>
      </c>
      <c r="H1004" s="1" t="str">
        <f t="shared" si="75"/>
        <v>50+</v>
      </c>
      <c r="I1004" s="1" t="str">
        <f t="shared" si="76"/>
        <v>High</v>
      </c>
      <c r="J1004" s="1" t="str">
        <f t="shared" si="77"/>
        <v>High</v>
      </c>
      <c r="K1004" s="1" t="str">
        <f t="shared" si="78"/>
        <v>Normal</v>
      </c>
      <c r="L1004" s="1" t="str">
        <f t="shared" si="79"/>
        <v>Normal</v>
      </c>
    </row>
    <row r="1005" spans="1:12" x14ac:dyDescent="0.25">
      <c r="A1005">
        <v>50</v>
      </c>
      <c r="B1005">
        <v>130</v>
      </c>
      <c r="C1005">
        <v>100</v>
      </c>
      <c r="D1005">
        <v>16</v>
      </c>
      <c r="E1005">
        <v>98</v>
      </c>
      <c r="F1005">
        <v>76</v>
      </c>
      <c r="G1005" t="s">
        <v>7</v>
      </c>
      <c r="H1005" s="1" t="str">
        <f t="shared" si="75"/>
        <v>40-50</v>
      </c>
      <c r="I1005" s="1" t="str">
        <f t="shared" si="76"/>
        <v>Critical</v>
      </c>
      <c r="J1005" s="1" t="str">
        <f t="shared" si="77"/>
        <v>High</v>
      </c>
      <c r="K1005" s="1" t="str">
        <f t="shared" si="78"/>
        <v>Normal</v>
      </c>
      <c r="L1005" s="1" t="str">
        <f t="shared" si="79"/>
        <v>Normal</v>
      </c>
    </row>
    <row r="1006" spans="1:12" x14ac:dyDescent="0.25">
      <c r="A1006">
        <v>13</v>
      </c>
      <c r="B1006">
        <v>90</v>
      </c>
      <c r="C1006">
        <v>65</v>
      </c>
      <c r="D1006">
        <v>9</v>
      </c>
      <c r="E1006">
        <v>101</v>
      </c>
      <c r="F1006">
        <v>80</v>
      </c>
      <c r="G1006" t="s">
        <v>7</v>
      </c>
      <c r="H1006" s="1" t="str">
        <f t="shared" si="75"/>
        <v>10-20</v>
      </c>
      <c r="I1006" s="1" t="str">
        <f t="shared" si="76"/>
        <v>Normal</v>
      </c>
      <c r="J1006" s="1" t="str">
        <f t="shared" si="77"/>
        <v>Slightly High</v>
      </c>
      <c r="K1006" s="1" t="str">
        <f t="shared" si="78"/>
        <v>Normal</v>
      </c>
      <c r="L1006" s="1" t="str">
        <f t="shared" si="79"/>
        <v>High</v>
      </c>
    </row>
    <row r="1007" spans="1:12" x14ac:dyDescent="0.25">
      <c r="A1007">
        <v>17</v>
      </c>
      <c r="B1007">
        <v>90</v>
      </c>
      <c r="C1007">
        <v>65</v>
      </c>
      <c r="D1007">
        <v>7.7</v>
      </c>
      <c r="E1007">
        <v>103</v>
      </c>
      <c r="F1007">
        <v>67</v>
      </c>
      <c r="G1007" t="s">
        <v>7</v>
      </c>
      <c r="H1007" s="1" t="str">
        <f t="shared" si="75"/>
        <v>10-20</v>
      </c>
      <c r="I1007" s="1" t="str">
        <f t="shared" si="76"/>
        <v>Normal</v>
      </c>
      <c r="J1007" s="1" t="str">
        <f t="shared" si="77"/>
        <v>Normal</v>
      </c>
      <c r="K1007" s="1" t="str">
        <f t="shared" si="78"/>
        <v>Low</v>
      </c>
      <c r="L1007" s="1" t="str">
        <f t="shared" si="79"/>
        <v>High</v>
      </c>
    </row>
    <row r="1008" spans="1:12" x14ac:dyDescent="0.25">
      <c r="A1008">
        <v>17</v>
      </c>
      <c r="B1008">
        <v>85</v>
      </c>
      <c r="C1008">
        <v>60</v>
      </c>
      <c r="D1008">
        <v>6.3</v>
      </c>
      <c r="E1008">
        <v>102</v>
      </c>
      <c r="F1008">
        <v>86</v>
      </c>
      <c r="G1008" t="s">
        <v>7</v>
      </c>
      <c r="H1008" s="1" t="str">
        <f t="shared" si="75"/>
        <v>10-20</v>
      </c>
      <c r="I1008" s="1" t="str">
        <f t="shared" si="76"/>
        <v>Normal</v>
      </c>
      <c r="J1008" s="1" t="str">
        <f t="shared" si="77"/>
        <v>Normal</v>
      </c>
      <c r="K1008" s="1" t="str">
        <f t="shared" si="78"/>
        <v>High</v>
      </c>
      <c r="L1008" s="1" t="str">
        <f t="shared" si="79"/>
        <v>High</v>
      </c>
    </row>
    <row r="1009" spans="1:12" x14ac:dyDescent="0.25">
      <c r="A1009">
        <v>40</v>
      </c>
      <c r="B1009">
        <v>120</v>
      </c>
      <c r="C1009">
        <v>75</v>
      </c>
      <c r="D1009">
        <v>7.7</v>
      </c>
      <c r="E1009">
        <v>98</v>
      </c>
      <c r="F1009">
        <v>70</v>
      </c>
      <c r="G1009" t="s">
        <v>7</v>
      </c>
      <c r="H1009" s="1" t="str">
        <f t="shared" si="75"/>
        <v>30-40</v>
      </c>
      <c r="I1009" s="1" t="str">
        <f t="shared" si="76"/>
        <v>Pre-High</v>
      </c>
      <c r="J1009" s="1" t="str">
        <f t="shared" si="77"/>
        <v>Normal</v>
      </c>
      <c r="K1009" s="1" t="str">
        <f t="shared" si="78"/>
        <v>Normal</v>
      </c>
      <c r="L1009" s="1" t="str">
        <f t="shared" si="79"/>
        <v>Normal</v>
      </c>
    </row>
    <row r="1010" spans="1:12" x14ac:dyDescent="0.25">
      <c r="A1010">
        <v>48</v>
      </c>
      <c r="B1010">
        <v>120</v>
      </c>
      <c r="C1010">
        <v>80</v>
      </c>
      <c r="D1010">
        <v>11</v>
      </c>
      <c r="E1010">
        <v>98</v>
      </c>
      <c r="F1010">
        <v>88</v>
      </c>
      <c r="G1010" t="s">
        <v>7</v>
      </c>
      <c r="H1010" s="1" t="str">
        <f t="shared" si="75"/>
        <v>40-50</v>
      </c>
      <c r="I1010" s="1" t="str">
        <f t="shared" si="76"/>
        <v>Pre-High</v>
      </c>
      <c r="J1010" s="1" t="str">
        <f t="shared" si="77"/>
        <v>Slightly High</v>
      </c>
      <c r="K1010" s="1" t="str">
        <f t="shared" si="78"/>
        <v>High</v>
      </c>
      <c r="L1010" s="1" t="str">
        <f t="shared" si="79"/>
        <v>Normal</v>
      </c>
    </row>
    <row r="1011" spans="1:12" x14ac:dyDescent="0.25">
      <c r="A1011">
        <v>22</v>
      </c>
      <c r="B1011">
        <v>120</v>
      </c>
      <c r="C1011">
        <v>60</v>
      </c>
      <c r="D1011">
        <v>15</v>
      </c>
      <c r="E1011">
        <v>98</v>
      </c>
      <c r="F1011">
        <v>80</v>
      </c>
      <c r="G1011" t="s">
        <v>7</v>
      </c>
      <c r="H1011" s="1" t="str">
        <f t="shared" si="75"/>
        <v>20-30</v>
      </c>
      <c r="I1011" s="1" t="str">
        <f t="shared" si="76"/>
        <v>Pre-High</v>
      </c>
      <c r="J1011" s="1" t="str">
        <f t="shared" si="77"/>
        <v>High</v>
      </c>
      <c r="K1011" s="1" t="str">
        <f t="shared" si="78"/>
        <v>Normal</v>
      </c>
      <c r="L1011" s="1" t="str">
        <f t="shared" si="79"/>
        <v>Normal</v>
      </c>
    </row>
    <row r="1012" spans="1:12" x14ac:dyDescent="0.25">
      <c r="A1012">
        <v>55</v>
      </c>
      <c r="B1012">
        <v>120</v>
      </c>
      <c r="C1012">
        <v>90</v>
      </c>
      <c r="D1012">
        <v>18</v>
      </c>
      <c r="E1012">
        <v>98</v>
      </c>
      <c r="F1012">
        <v>60</v>
      </c>
      <c r="G1012" t="s">
        <v>7</v>
      </c>
      <c r="H1012" s="1" t="str">
        <f t="shared" si="75"/>
        <v>50+</v>
      </c>
      <c r="I1012" s="1" t="str">
        <f t="shared" si="76"/>
        <v>High</v>
      </c>
      <c r="J1012" s="1" t="str">
        <f t="shared" si="77"/>
        <v>High</v>
      </c>
      <c r="K1012" s="1" t="str">
        <f t="shared" si="78"/>
        <v>Low</v>
      </c>
      <c r="L1012" s="1" t="str">
        <f t="shared" si="79"/>
        <v>Normal</v>
      </c>
    </row>
    <row r="1013" spans="1:12" x14ac:dyDescent="0.25">
      <c r="A1013">
        <v>35</v>
      </c>
      <c r="B1013">
        <v>85</v>
      </c>
      <c r="C1013">
        <v>60</v>
      </c>
      <c r="D1013">
        <v>19</v>
      </c>
      <c r="E1013">
        <v>98</v>
      </c>
      <c r="F1013">
        <v>86</v>
      </c>
      <c r="G1013" t="s">
        <v>7</v>
      </c>
      <c r="H1013" s="1" t="str">
        <f t="shared" si="75"/>
        <v>30-40</v>
      </c>
      <c r="I1013" s="1" t="str">
        <f t="shared" si="76"/>
        <v>Normal</v>
      </c>
      <c r="J1013" s="1" t="str">
        <f t="shared" si="77"/>
        <v>High</v>
      </c>
      <c r="K1013" s="1" t="str">
        <f t="shared" si="78"/>
        <v>High</v>
      </c>
      <c r="L1013" s="1" t="str">
        <f t="shared" si="79"/>
        <v>Normal</v>
      </c>
    </row>
    <row r="1014" spans="1:12" x14ac:dyDescent="0.25">
      <c r="A1014">
        <v>43</v>
      </c>
      <c r="B1014">
        <v>120</v>
      </c>
      <c r="C1014">
        <v>90</v>
      </c>
      <c r="D1014">
        <v>18</v>
      </c>
      <c r="E1014">
        <v>98</v>
      </c>
      <c r="F1014">
        <v>70</v>
      </c>
      <c r="G1014" t="s">
        <v>7</v>
      </c>
      <c r="H1014" s="1" t="str">
        <f t="shared" si="75"/>
        <v>40-50</v>
      </c>
      <c r="I1014" s="1" t="str">
        <f t="shared" si="76"/>
        <v>High</v>
      </c>
      <c r="J1014" s="1" t="str">
        <f t="shared" si="77"/>
        <v>High</v>
      </c>
      <c r="K1014" s="1" t="str">
        <f t="shared" si="78"/>
        <v>Normal</v>
      </c>
      <c r="L1014" s="1" t="str">
        <f t="shared" si="79"/>
        <v>Normal</v>
      </c>
    </row>
    <row r="1015" spans="1:12" x14ac:dyDescent="0.25">
      <c r="A1015">
        <v>32</v>
      </c>
      <c r="B1015">
        <v>120</v>
      </c>
      <c r="C1015">
        <v>65</v>
      </c>
      <c r="D1015">
        <v>6</v>
      </c>
      <c r="E1015">
        <v>101</v>
      </c>
      <c r="F1015">
        <v>76</v>
      </c>
      <c r="G1015" t="s">
        <v>9</v>
      </c>
      <c r="H1015" s="1" t="str">
        <f t="shared" si="75"/>
        <v>30-40</v>
      </c>
      <c r="I1015" s="1" t="str">
        <f t="shared" si="76"/>
        <v>Pre-High</v>
      </c>
      <c r="J1015" s="1" t="str">
        <f t="shared" si="77"/>
        <v>Normal</v>
      </c>
      <c r="K1015" s="1" t="str">
        <f t="shared" si="78"/>
        <v>Normal</v>
      </c>
      <c r="L1015" s="1" t="str">
        <f t="shared" si="79"/>
        <v>High</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Avg BS</vt:lpstr>
      <vt:lpstr>Avg BP </vt:lpstr>
      <vt:lpstr>Avg Age</vt:lpstr>
      <vt:lpstr>Avg Bs by age</vt:lpstr>
      <vt:lpstr>Avg Heart Rate </vt:lpstr>
      <vt:lpstr>Risk Level by BodyTemp Category</vt:lpstr>
      <vt:lpstr>MaternalHealthRiskDataset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Phakawadee Rakamthong</cp:lastModifiedBy>
  <dcterms:created xsi:type="dcterms:W3CDTF">2025-11-20T11:29:56Z</dcterms:created>
  <dcterms:modified xsi:type="dcterms:W3CDTF">2025-11-23T16:54:40Z</dcterms:modified>
</cp:coreProperties>
</file>